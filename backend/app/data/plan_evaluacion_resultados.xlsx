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- Reporte 2025 - 2026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tc={22ba4384-a1df-487e-8b5c-765854971d28}</author>
    <author>tc={3a19f86c-e91b-47b6-8e3e-aca0d3db6867}</author>
    <author>tc={846f9554-cd57-40b3-a630-590d13cbd683}</author>
    <author>tc={af7cae96-95e6-46f8-9629-27e2bb4eebef}</author>
  </authors>
  <commentList>
    <comment authorId="0" ref="P10">
      <text>
        <t xml:space="preserve">Faculty activo con al menos una actividad académica o profesional verificable durante el periodo.</t>
      </text>
    </comment>
    <comment authorId="1" xr:uid="{22ba4384-a1df-487e-8b5c-765854971d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resultado
</t>
      </text>
    </comment>
    <comment authorId="2" xr:uid="{3a19f86c-e91b-47b6-8e3e-aca0d3db6867}" ref="R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elaborar una lista de convenios y calcular cuantos de ellos tienen participación institucional
</t>
      </text>
    </comment>
    <comment authorId="3" xr:uid="{846f9554-cd57-40b3-a630-590d13cbd683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vinculado a satisfacción
</t>
      </text>
    </comment>
    <comment authorId="4" xr:uid="{af7cae96-95e6-46f8-9629-27e2bb4eebef}" ref="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confirmación si cuenta con la evidencia
</t>
      </text>
    </comment>
  </commentList>
</comments>
</file>

<file path=xl/sharedStrings.xml><?xml version="1.0" encoding="utf-8"?>
<sst xmlns="http://schemas.openxmlformats.org/spreadsheetml/2006/main" count="450" uniqueCount="347">
  <si>
    <t>PLAN DE EVALUACIÓN DE RESULTADOS 2025 - 2026
01 de septiembre del 2025 - 31 de agosto del 2026</t>
  </si>
  <si>
    <t>#</t>
  </si>
  <si>
    <t>Medida</t>
  </si>
  <si>
    <t>Tipo</t>
  </si>
  <si>
    <t>Alineación de IO</t>
  </si>
  <si>
    <t>Frecuencia</t>
  </si>
  <si>
    <t>Unidad responsable</t>
  </si>
  <si>
    <t>Fuente de datos</t>
  </si>
  <si>
    <t>¿Qué busca evaluar?</t>
  </si>
  <si>
    <t>Información mínima que debe recopilarse</t>
  </si>
  <si>
    <t>Evidencia esperada</t>
  </si>
  <si>
    <t>KPI del Plan de Efectividad relacionado</t>
  </si>
  <si>
    <t>KPI del Plan Estratégico relacionado</t>
  </si>
  <si>
    <t>Tipo de cruce</t>
  </si>
  <si>
    <t>Qué registrar si no existe cruce directo</t>
  </si>
  <si>
    <t>Uso esperado de los resultados</t>
  </si>
  <si>
    <t>KPI o META 2025 - 2026</t>
  </si>
  <si>
    <t>RESULTADO</t>
  </si>
  <si>
    <t>EVIDENCIA</t>
  </si>
  <si>
    <t>ESTADO</t>
  </si>
  <si>
    <t>DECISION</t>
  </si>
  <si>
    <t>D-01</t>
  </si>
  <si>
    <t>Puntuaciones de la rúbrica de Student Learning Outcome (SLO) a nivel de programa</t>
  </si>
  <si>
    <t>Directa</t>
  </si>
  <si>
    <t>IO-1</t>
  </si>
  <si>
    <t>Anual 
(Fall &amp; Spring)</t>
  </si>
  <si>
    <t>Academic Depts.</t>
  </si>
  <si>
    <t>Artefactos calificados</t>
  </si>
  <si>
    <t>Verificar el grado en que los estudiantes alcanzan los resultados de aprendizaje definidos para cada programa académico.</t>
  </si>
  <si>
    <t>Resultados por SLO, número de estudiantes evaluados, número y porcentaje que alcanza el nivel esperado, curso y periodo, criterios de rúbrica y análisis del faculty.</t>
  </si>
  <si>
    <t>Rúbricas completadas, muestra de trabajos, matriz de resultados por SLO, informe de análisis y acta con decisiones.</t>
  </si>
  <si>
    <t xml:space="preserve">E1-S01 </t>
  </si>
  <si>
    <t xml:space="preserve">E1-K4 </t>
  </si>
  <si>
    <t>Transversal / evidencia académica</t>
  </si>
  <si>
    <t>Registrar IO-1, programa, SLO evaluado, benchmark, resultado, brecha y acción de mejora. No crear un KPI artificial.</t>
  </si>
  <si>
    <t>Revisar currículo, enseñanza, secuencia de cursos y apoyos académicos.</t>
  </si>
  <si>
    <t>≥80% competente por cada SLO.</t>
  </si>
  <si>
    <t>Ronald</t>
  </si>
  <si>
    <t>- Promedio de Evaluaciones Final de Cursos
- Esquema de Elaboración de Contenidos</t>
  </si>
  <si>
    <t>No cumplido</t>
  </si>
  <si>
    <t>Estado</t>
  </si>
  <si>
    <t>Criterio general</t>
  </si>
  <si>
    <t>Tratamiento</t>
  </si>
  <si>
    <t>Resultados</t>
  </si>
  <si>
    <t>D-02</t>
  </si>
  <si>
    <t>Evaluación de competencias de educación general (General Education) (rúbricas institucionales)</t>
  </si>
  <si>
    <t>Anual (Fall &amp; Spring)</t>
  </si>
  <si>
    <t>Trabajo académico incorporado</t>
  </si>
  <si>
    <t>Determinar si los estudiantes desarrollan las competencias institucionales de educación general, como comunicación, pensamiento crítico y alfabetización cuantitativa.</t>
  </si>
  <si>
    <t>Competencia evaluada, rúbrica utilizada, muestra, curso, periodo, puntajes por criterio, porcentaje competente y desagregaciones pertinentes.</t>
  </si>
  <si>
    <t>Rúbricas institucionales, trabajos estudiantiles anonimizados, informe consolidado y actas de revisión.</t>
  </si>
  <si>
    <t>E1-S01.</t>
  </si>
  <si>
    <t>Registrar competencia, ciclo de evaluación, benchmark, resultado, hallazgos y mejora. Vincular a IO-1.</t>
  </si>
  <si>
    <t>Mejorar educación general, mapas curriculares y prácticas de evaluación.</t>
  </si>
  <si>
    <t>≥80% competente por cada competencia de educación general.</t>
  </si>
  <si>
    <t>- Promedio de Evaluación de Cursos de Formación General
- Rubricas de Evaluacion de Trabajos Finales</t>
  </si>
  <si>
    <t>Cumplido</t>
  </si>
  <si>
    <t>Meta alcanzada o superada, considerando la
dirección del KPI.</t>
  </si>
  <si>
    <t>Mantener, elevar meta o cerrar mejora.</t>
  </si>
  <si>
    <t>D-03</t>
  </si>
  <si>
    <t>Calificaciones de evaluación del capstone/tesis de fin de carrera</t>
  </si>
  <si>
    <t>IO-1, IO-4, IO-7</t>
  </si>
  <si>
    <t>Formularios Capstone assessment</t>
  </si>
  <si>
    <t>Comprobar que el estudiante integra y aplica los conocimientos y competencias del programa al finalizar su trayectoria.</t>
  </si>
  <si>
    <t>Estudiantes elegibles, evaluados y aprobados; puntajes de rúbrica; tipo de capstone o tesis; programa; periodo y hallazgos por criterio.</t>
  </si>
  <si>
    <t>Formularios de capstone, rúbricas, actas de defensa, muestras anonimizadas e informe de resultados.</t>
  </si>
  <si>
    <t>E1-I03, E5-I01.</t>
  </si>
  <si>
    <t>E1-K2 y E5-K3.</t>
  </si>
  <si>
    <t>Indirecto / complementario</t>
  </si>
  <si>
    <t>Registrar que la medida demuestra logro final, no la tasa de graduación. Informar por separado aprobación del capstone y graduación.</t>
  </si>
  <si>
    <t>Ajustar currículo, requisitos finales, tutoría y preparación profesional.</t>
  </si>
  <si>
    <t>≥80% de los estudiantes evaluados obtiene “competente” o “ejemplar” en la rúbrica final.</t>
  </si>
  <si>
    <t>Consolidado de Participantes - Capstone Oficial.xlsx - Hojas de cálculo de Google.pdf
Rubrica de evaluación</t>
  </si>
  <si>
    <t>Parcialmente cumplido</t>
  </si>
  <si>
    <t>Resultado mayor a 0</t>
  </si>
  <si>
    <t>Analizar causa y fortalecer acciones.</t>
  </si>
  <si>
    <t>D-04</t>
  </si>
  <si>
    <t>Evaluaciones de muestras de redacción</t>
  </si>
  <si>
    <t>Anual (Fall &amp; Spring</t>
  </si>
  <si>
    <t>Ejemplos de trabajos entregados en el curso</t>
  </si>
  <si>
    <t>Evaluar la calidad de la comunicación escrita de los estudiantes conforme a criterios institucionales.</t>
  </si>
  <si>
    <t>Muestras anonimizadas, curso, programa, nivel, rúbrica, puntajes por criterio, porcentaje competente y comentarios de evaluadores.</t>
  </si>
  <si>
    <t>Muestras de escritura, rúbricas, tabla de resultados, informe y acta de revisión.</t>
  </si>
  <si>
    <t>Registrar IO-1 y la competencia de comunicación escrita; documentar benchmark, brecha y acción.</t>
  </si>
  <si>
    <t>Fortalecer redacción, investigación, secuencia curricular y apoyo académico.</t>
  </si>
  <si>
    <t>≥80% alcanza nivel 3 o superior en la rúbrica, o una calificación equivalente de 80/100 o más.</t>
  </si>
  <si>
    <t>- Promedio de Evaluación de Trabajos Finales
- Rubricas de Evaluacion de Trabajos Finales</t>
  </si>
  <si>
    <t>Resultado igual a 0</t>
  </si>
  <si>
    <t>Accion de mejora obligatoria cuando
proceda.</t>
  </si>
  <si>
    <t>D-05</t>
  </si>
  <si>
    <t>Puntuaciones de revisión del portafolio</t>
  </si>
  <si>
    <t>IO-1, IO-4</t>
  </si>
  <si>
    <t>Anual
(Fall &amp; Spring)</t>
  </si>
  <si>
    <t>Sistema de e-Portfolio</t>
  </si>
  <si>
    <t>Determinar si el portafolio  demuestra progresión, integración y calidad del aprendizaje del estudiante.</t>
  </si>
  <si>
    <t>Portafolios revisados, criterios, puntajes, programa, periodo, porcentaje competente y evidencia de progresión.</t>
  </si>
  <si>
    <t>Portafolios, rúbricas, reporte del sistema, matriz de resultados y actas.</t>
  </si>
  <si>
    <t xml:space="preserve"> E1-S01 y E4-I01</t>
  </si>
  <si>
    <t xml:space="preserve">E1-K4 E4-K4 </t>
  </si>
  <si>
    <t>Parcial / complementario</t>
  </si>
  <si>
    <t>Separar el logro académico del uso de la plataforma. No usar la calidad del portafolio como sustituto de satisfacción tecnológica.</t>
  </si>
  <si>
    <t>Mejorar integración curricular, reflexión estudiantil y uso académico de la plataforma.</t>
  </si>
  <si>
    <t>≥80% de los portafolios evaluados demuestra competencia, integración y progresión del aprendizaje.</t>
  </si>
  <si>
    <t>Planes Institucionales</t>
  </si>
  <si>
    <t>Sin datos</t>
  </si>
  <si>
    <t>La fuente no produjo informacion valida.</t>
  </si>
  <si>
    <t>Plan de obtencion y responsable; no registrar
cero.</t>
  </si>
  <si>
    <t>D-06</t>
  </si>
  <si>
    <t>Criterios de evaluación (Assessment Rubrics) para la presentación oral/defensa de tesis o disertación</t>
  </si>
  <si>
    <t>Registros de Faculty rubric</t>
  </si>
  <si>
    <t>Evaluar la competencia de comunicación oral y defensa académica en tesis o disertaciones.</t>
  </si>
  <si>
    <t>Número de defensas, estudiantes evaluados, puntajes por criterio, porcentaje competente, programa, evaluadores y periodo.</t>
  </si>
  <si>
    <t>Rúbricas de defensa, actas, grabaciones cuando proceda, informe consolidado y decisiones.</t>
  </si>
  <si>
    <t>E1-S01 y E1-I03.</t>
  </si>
  <si>
    <t>E1-K4</t>
  </si>
  <si>
    <t>Registrar IO-1, competencia oral, benchmark, resultados y acciones. No confundir defensa aprobada con tasa de graduación.</t>
  </si>
  <si>
    <t>Fortalecer comunicación oral, preparación para defensa y diseño curricular.</t>
  </si>
  <si>
    <t>≥80% alcanza nivel competente o superior en la rúbrica de comunicación oral y defensa académica.</t>
  </si>
  <si>
    <t>Consolidado de Participantes - Capstone Oficial.xlsx - Hojas de cálculo de Google.pdf
Reporte de Indicacores
Rubrica de evaluación</t>
  </si>
  <si>
    <t>No aplicable / cohorte no madura</t>
  </si>
  <si>
    <t>El indicador no puede medirse legitimamente
en el periodo.</t>
  </si>
  <si>
    <t>Justificar y programar la primera medición
valida.</t>
  </si>
  <si>
    <t>D-07</t>
  </si>
  <si>
    <t>Revisión de los resultados del aprendizaje extracurricular</t>
  </si>
  <si>
    <t>Student Services</t>
  </si>
  <si>
    <t>portafolios de programas</t>
  </si>
  <si>
    <t>Determinar si las actividades extracurriculares producen aprendizajes o competencias verificables.</t>
  </si>
  <si>
    <t>Actividad, resultado de aprendizaje, participantes, instrumento, desempeño, porcentaje competente y reflexión del estudiante.</t>
  </si>
  <si>
    <t>Portafolios, rúbricas, productos, registros de participación, informe y actas.</t>
  </si>
  <si>
    <t xml:space="preserve">E6-I01, E6-S01 y E5-S02 </t>
  </si>
  <si>
    <t xml:space="preserve">E6-K1 E6-K2  E5-K4 </t>
  </si>
  <si>
    <t>Condicional / múltiple</t>
  </si>
  <si>
    <t>Clasificar cada actividad por propósito: pertenencia, ética, internacionalización, servicio o apoyo académico; registrar solo el cruce aplicable.</t>
  </si>
  <si>
    <t>Mejorar programas cocurriculares, participación y aprendizaje fuera del aula.</t>
  </si>
  <si>
    <t>≥80% de los participantes demuestra el resultado de aprendizaje cocurricular establecido.</t>
  </si>
  <si>
    <t>Marisol</t>
  </si>
  <si>
    <t>D-08</t>
  </si>
  <si>
    <t>Actividad académica y profesional verificable del faculty</t>
  </si>
  <si>
    <t>IO-2, IO-5</t>
  </si>
  <si>
    <t>Anual</t>
  </si>
  <si>
    <t>Academic Dept, HR, Recursos Humanos</t>
  </si>
  <si>
    <t>Expedientes del faculty, CV actualizados, sistema de evaluación docente y registros de desarrollo profesional</t>
  </si>
  <si>
    <t>Determinar si el faculty activo mantiene vigencia académica, disciplinar y profesional mediante actividades verificables realizadas durante el periodo de evaluación.</t>
  </si>
  <si>
    <t>Publicaciones, ponencias, conferencias, grants, proyectos, fecha, autoría, afiliación, indexación o verificación y faculty activo.</t>
  </si>
  <si>
    <t>CV actualizados, DOI o enlaces, certificados, cartas de aceptación, repositorio e informe anual.</t>
  </si>
  <si>
    <t>E2-O02</t>
  </si>
  <si>
    <t xml:space="preserve">E2-K2 y E2-K4 </t>
  </si>
  <si>
    <t>Complementario</t>
  </si>
  <si>
    <t>Registrar productividad por tipo y por faculty. No usar publicaciones como sustituto de verificación de credenciales o capacitación.</t>
  </si>
  <si>
    <t>Orientar desarrollo docente, asignaciones, reconocimiento y contratación.</t>
  </si>
  <si>
    <t>≥70%</t>
  </si>
  <si>
    <t>2026
CV de docentes</t>
  </si>
  <si>
    <t>Portafolio Académico</t>
  </si>
  <si>
    <t>D-09</t>
  </si>
  <si>
    <t>Resultados verificables de Alianzas Institucionales</t>
  </si>
  <si>
    <t>IO-5</t>
  </si>
  <si>
    <t>Oficina del President</t>
  </si>
  <si>
    <t>Resultados verificables de convenios y alianzas institucionales</t>
  </si>
  <si>
    <t>Determinar en qué medida las alianzas generan actividades</t>
  </si>
  <si>
    <t>Proyecto, socios, participantes, horas, objetivos, productos, resultados, beneficiarios y evaluación del aprendizaje o impacto.</t>
  </si>
  <si>
    <t>Convenios, registros de horas, productos, rúbricas, encuestas de socios, fotografías e informe.</t>
  </si>
  <si>
    <t xml:space="preserve">E5-O01 y E5-S01 </t>
  </si>
  <si>
    <t xml:space="preserve">E5-K1 y E5-K2 </t>
  </si>
  <si>
    <t>Directo o pendiente de formalización</t>
  </si>
  <si>
    <t>Crear definición operativa para E6-K3: participantes únicos, horas o proyectos con impacto. Mantener separados volumen e impacto.</t>
  </si>
  <si>
    <t>Mejorar vinculación comunitaria, alianzas y asignación de recursos.</t>
  </si>
  <si>
    <t xml:space="preserve">≥20% </t>
  </si>
  <si>
    <t>RESULTADOS DE ALIANZAS</t>
  </si>
  <si>
    <t>Claustro Académico</t>
  </si>
  <si>
    <t>I-01</t>
  </si>
  <si>
    <t>Graduate Survey</t>
  </si>
  <si>
    <t>Indirecta</t>
  </si>
  <si>
    <t>IO-1, IO-4, IO-5</t>
  </si>
  <si>
    <t xml:space="preserve">Alcance de respuestas en las encuestas </t>
  </si>
  <si>
    <t>Conocer la percepción de los graduandos sobre aprendizaje, servicios, preparación profesional y pertenencia al concluir el programa.</t>
  </si>
  <si>
    <t>Población invitada, respuestas, tasa de respuesta, resultados por dimensión, programa, modalidad y desagregaciones.</t>
  </si>
  <si>
    <t>Instrumento, base anonimizada, reporte, tasa de respuesta, análisis y acciones.</t>
  </si>
  <si>
    <t xml:space="preserve">E5-I01, E6-I01, E3-I01, E4-I01 </t>
  </si>
  <si>
    <t xml:space="preserve">E5-K3; E6-K1 ; E3-K1 ; E4-K4 </t>
  </si>
  <si>
    <t>Múltiple / según ítems</t>
  </si>
  <si>
    <t>Preparar una matriz pregunta-KPI. Solo cruzar un KPI cuando la encuesta incluya la pregunta correspondiente.</t>
  </si>
  <si>
    <t>Mejorar programas, servicios, tecnología, pertenencia y transición profesional.</t>
  </si>
  <si>
    <t>&gt;=20%</t>
  </si>
  <si>
    <t>44 encuestados, población 172</t>
  </si>
  <si>
    <t>Capital Humano Administrativo</t>
  </si>
  <si>
    <t>I-02</t>
  </si>
  <si>
    <t>Alumni Survey</t>
  </si>
  <si>
    <t>IO-1, IO-2, IO-5, IO-6</t>
  </si>
  <si>
    <t>Datos de encuestas/LinkedIn</t>
  </si>
  <si>
    <t>Evaluar resultados laborales, continuidad académica, relevancia de la formación y relación del egresado con BGU un año después de graduarse.</t>
  </si>
  <si>
    <t>Situación laboral, mejora o promoción, emprendimiento, estudios posteriores, relevancia del programa, satisfacción y tasa de localización.</t>
  </si>
  <si>
    <t>Encuesta, base de contactos, validaciones de Career Services o LinkedIn, reporte y análisis.</t>
  </si>
  <si>
    <t>E5-I01, E5-I02 y E6-I01.</t>
  </si>
  <si>
    <t xml:space="preserve">E5-K3 ; E6-K1 </t>
  </si>
  <si>
    <t>Directo / múltiple</t>
  </si>
  <si>
    <t>Definir graduados elegibles, localizados y ventana de seguimiento. Separar placement, percepción de marca y pertenencia.</t>
  </si>
  <si>
    <t>Mejorar currículo, Career Services, alumni engagement y posicionamiento.</t>
  </si>
  <si>
    <t>Tasa de respuesta ≥75%</t>
  </si>
  <si>
    <t>No aplica (Diciembre)</t>
  </si>
  <si>
    <t>Plataformas Tecnológicas</t>
  </si>
  <si>
    <t>I-03</t>
  </si>
  <si>
    <t>Employer (empleador) Satisfaction Survey</t>
  </si>
  <si>
    <t>IO-1, IO-5</t>
  </si>
  <si>
    <t>Encuesta en línea</t>
  </si>
  <si>
    <t>Conocer la valoración de los empleadores sobre las competencias y desempeño de los graduados.</t>
  </si>
  <si>
    <t>Empleadores invitados, respuestas, tasa de respuesta, competencias evaluadas, programa, sector y comentarios.</t>
  </si>
  <si>
    <t>Encuesta, directorio de empleadores, reporte, resultados por competencia y acciones.</t>
  </si>
  <si>
    <t xml:space="preserve"> E5-I01, E5-I02 y E1-S01.</t>
  </si>
  <si>
    <t xml:space="preserve">E5-K3 ; E1-K4 </t>
  </si>
  <si>
    <t>No sustituye el placement rate. Registrar percepción del empleador y usarla para validar pertinencia curricular.</t>
  </si>
  <si>
    <t>Actualizar currículo, competencias y relaciones con empleadores.</t>
  </si>
  <si>
    <t>≥65%</t>
  </si>
  <si>
    <t>Se espera que finalice la encuesta de graduados, no se aplico en Marzo</t>
  </si>
  <si>
    <t xml:space="preserve">Posicionamiento Global </t>
  </si>
  <si>
    <t>I-04</t>
  </si>
  <si>
    <t>Student Satisfaction Survey</t>
  </si>
  <si>
    <t>IO-2, IO-4, IO-5, IO-7</t>
  </si>
  <si>
    <t>Anual (Fall)</t>
  </si>
  <si>
    <t>OIQE, Student Affairs</t>
  </si>
  <si>
    <t>Plataforma de encuestas</t>
  </si>
  <si>
    <t>Medir la satisfacción y experiencia general de los estudiantes con docencia, servicios, tecnología, apoyo y pertenencia.</t>
  </si>
  <si>
    <t>Población, respuestas, tasa de respuesta, resultados por dimensión, programa, modalidad, nivel y grupos relevantes.</t>
  </si>
  <si>
    <t>Instrumento, base anonimizada, reporte, análisis desagregado y acciones.</t>
  </si>
  <si>
    <t>E3-I01, E4-I01, E6-I01 y E7-S01; E5-I02.</t>
  </si>
  <si>
    <t xml:space="preserve">E3-K1 : E4-K4, E6-K1 </t>
  </si>
  <si>
    <t>Crear matriz pregunta-KPI. No usar resultados estudiantiles para medir satisfacción del staff.</t>
  </si>
  <si>
    <t>Mejorar experiencia estudiantil, servicios, LMS, pertenencia y apoyo económico.</t>
  </si>
  <si>
    <t>≥75% satisfacción de las tres preguntas obligatorias</t>
  </si>
  <si>
    <r>
      <rPr>
        <rFont val="Calibri"/>
        <color rgb="FF0000FF"/>
        <sz val="11.0"/>
        <u/>
      </rPr>
      <t xml:space="preserve">Base Encuesta
</t>
    </r>
    <r>
      <rPr>
        <rFont val="Calibri"/>
        <color rgb="FF1F1F1F"/>
        <sz val="10.0"/>
      </rPr>
      <t xml:space="preserve">(8) ¿Qué tan satisfecho/a está con la atención y respuesta del área de soporte o servicios estudiantiles?
</t>
    </r>
    <r>
      <rPr>
        <rFont val="Calibri"/>
        <sz val="9.0"/>
      </rPr>
      <t xml:space="preserve">112 Encuestados al 14-07
neutral        19
satisfecho        38
muy satisfecho        46
</t>
    </r>
  </si>
  <si>
    <t>Cultura Universitaria</t>
  </si>
  <si>
    <t>I-05</t>
  </si>
  <si>
    <t>Employee (empleado) Satisfaction Survey</t>
  </si>
  <si>
    <t>IO-2, IO-3, IO-6</t>
  </si>
  <si>
    <t>Anual (Spring)</t>
  </si>
  <si>
    <t>Recursos Humanos, OIQE</t>
  </si>
  <si>
    <t>Conocer la percepción del personal sobre liderazgo, colaboración, recursos, desarrollo, clima y pertenencia.</t>
  </si>
  <si>
    <t>Personal elegible, respuestas, tasa de respuesta, dimensiones, unidad, antigüedad y resultados desagregados sin comprometer confidencialidad.</t>
  </si>
  <si>
    <t>Instrumento, base anonimizada, reporte, análisis y plan de acción.</t>
  </si>
  <si>
    <t>E3-I02 y E6-I01E3-S01.</t>
  </si>
  <si>
    <t>E3-K1; E6-K1</t>
  </si>
  <si>
    <t>Separar clima laboral, pertenencia y permanencia. La encuesta no sustituye la tasa de retención del staff.</t>
  </si>
  <si>
    <t>Mejorar clima, liderazgo, recursos, desarrollo y retención del personal.</t>
  </si>
  <si>
    <t>Yajayra</t>
  </si>
  <si>
    <r>
      <rPr>
        <rFont val="Arial"/>
        <sz val="10.0"/>
      </rPr>
      <t>96,69% Informe: Informe del Indicador 3.4 - Clima Laboral Administrativo - Plan de Efectividad 2025-2026 Anual2025 (1).pdf</t>
    </r>
    <r>
      <rPr>
        <rFont val="Arial"/>
        <color rgb="FF1155CC"/>
        <sz val="10.0"/>
        <u/>
      </rPr>
      <t xml:space="preserve">
</t>
    </r>
    <r>
      <rPr>
        <rFont val="Arial"/>
        <sz val="10.0"/>
      </rPr>
      <t>"Indice de Satisfaccion (%)=Número total de respuestas/Número de respuestas con valores 3, 4 y 5​×100"
Encuesta: ENCUESTA DEL CLIMA LABORAL STAFF - BGU.pdf</t>
    </r>
  </si>
  <si>
    <t>Apoyo Económico y Acceso</t>
  </si>
  <si>
    <t>I-06</t>
  </si>
  <si>
    <t>End-of-Course Survey</t>
  </si>
  <si>
    <t>IO-1, IO-2, IO-4</t>
  </si>
  <si>
    <t>OIQE</t>
  </si>
  <si>
    <t>Evaluar la experiencia del estudiante en cada curso y el desempeño docente, materiales, comunicación y uso del LMS.</t>
  </si>
  <si>
    <t>Curso, docente, periodo, respuestas, tasa de respuesta, puntuaciones por dimensión y comentarios depurados.</t>
  </si>
  <si>
    <t>Instrumento, reporte por curso y docente, consolidado institucional, análisis y acciones.</t>
  </si>
  <si>
    <t>E2-I01 y E4-I01.</t>
  </si>
  <si>
    <t xml:space="preserve">E2-K1 ; E4-K4 </t>
  </si>
  <si>
    <t>Distinguir ítems de docencia e ítems tecnológicos. Reportar cada KPI con sus preguntas específicas.</t>
  </si>
  <si>
    <t>Mejorar docencia, diseño de cursos, materiales, comunicación y LMS.</t>
  </si>
  <si>
    <t>≥4/5</t>
  </si>
  <si>
    <t>Indicadores de Programas de Estudio BGU 2025–2026.pdf</t>
  </si>
  <si>
    <t>I-07</t>
  </si>
  <si>
    <t>Retention Rate</t>
  </si>
  <si>
    <t>IO-1, IO-6,</t>
  </si>
  <si>
    <t>Anual (Continuo)</t>
  </si>
  <si>
    <t>SIS</t>
  </si>
  <si>
    <t>Medir continuidad, retención y finalización de los estudiantes por cohorte y subgrupos.</t>
  </si>
  <si>
    <t>Cohorte, elegibles, continuantes, completados, retirados, periodo, programa, nivel, modalidad y desagregaciones.</t>
  </si>
  <si>
    <t>Extracción SIS, diccionario de datos, cálculos, dashboard, validación y análisis.</t>
  </si>
  <si>
    <t>E1-I02, E1-I03 y E7-I01.</t>
  </si>
  <si>
    <t xml:space="preserve">E1-K3; E7-K3 </t>
  </si>
  <si>
    <t>Separar retención, completion y persistencia de beneficiarios. Documentar denominadores y cohortes.</t>
  </si>
  <si>
    <t>Diseñar intervenciones de retención, apoyo y revisión de programas.</t>
  </si>
  <si>
    <t>≥85%</t>
  </si>
  <si>
    <t xml:space="preserve"> Ratios 801 Data Collection (18.11.25) .xlsx</t>
  </si>
  <si>
    <t>I-08</t>
  </si>
  <si>
    <t>Graduation Rates</t>
  </si>
  <si>
    <t>IO-1, IO-6, IO-7</t>
  </si>
  <si>
    <t>Determinar la proporción de estudiantes de una cohorte que se gradúa dentro de la ventana institucional definida.</t>
  </si>
  <si>
    <t>Cohorte ajustada, graduados, exclusiones permitidas, ventana, programa, nivel y desagregaciones.</t>
  </si>
  <si>
    <t>Datos SIS, metodología, tabla de cohortes, cálculos, validación y tendencias.</t>
  </si>
  <si>
    <t>E1-I03.</t>
  </si>
  <si>
    <t>E1-K2</t>
  </si>
  <si>
    <t>Directo</t>
  </si>
  <si>
    <t>Registrar IO-1 y el KPI E1-I03. No forzar cruce con países representados.</t>
  </si>
  <si>
    <t>Mejorar progresión, currículo, asesoría y apoyo al estudiante.</t>
  </si>
  <si>
    <t xml:space="preserve">&gt;=70%
</t>
  </si>
  <si>
    <t>Ratios 801 Data Collection (18.11.25) .xlsx Bachelor: 59%               Master: 54%                       Doctoral: 0%</t>
  </si>
  <si>
    <t>Parcialmente Cumplido</t>
  </si>
  <si>
    <t>I-09</t>
  </si>
  <si>
    <t>Indicadores de salud financiera (puntuación financiera compuesta)</t>
  </si>
  <si>
    <t>IO-3, IO-6, IO-7</t>
  </si>
  <si>
    <t>Finanzas / OIE</t>
  </si>
  <si>
    <t>estados financieros auditados</t>
  </si>
  <si>
    <t>Evaluar la capacidad financiera de la institución para sostener operaciones, obligaciones y objetivos estratégicos.</t>
  </si>
  <si>
    <t>Estados auditados, razones financieras, liquidez, reservas, ingresos, gastos, obligaciones y metodología de puntuación.</t>
  </si>
  <si>
    <t>Estados financieros auditados, cálculos, informe financiero, actas y planes de mitigación.</t>
  </si>
  <si>
    <t xml:space="preserve"> E7-O01 </t>
  </si>
  <si>
    <t xml:space="preserve">E7-K1 y E7-K4 </t>
  </si>
  <si>
    <t>Transversal / sostenibilidad</t>
  </si>
  <si>
    <t>Registrar como indicador institucional de sostenibilidad financiera. Recomendar crear KPI financiero específico si se desea monitoreo estratégico.</t>
  </si>
  <si>
    <t>Respaldar presupuesto, continuidad operativa, gestión de riesgos y asignación de recursos.</t>
  </si>
  <si>
    <t>100% de los estados financieros auditados</t>
  </si>
  <si>
    <t>100% Estados Financieros Auditados: Audit opinion Global Education LLC Dec 2025 - Firmado.pdf</t>
  </si>
  <si>
    <t>I-10</t>
  </si>
  <si>
    <t>Indicadores clave de rendimiento (KPI’s) del Strategic Plan</t>
  </si>
  <si>
    <t>IO-1–IO-7</t>
  </si>
  <si>
    <t>Trimestral</t>
  </si>
  <si>
    <t>Oficina del President / OIQE</t>
  </si>
  <si>
    <t>Sistema de monitoreo integrado</t>
  </si>
  <si>
    <t>Consolidar y monitorear el desempeño de todos los KPI del Plan Estratégico y del Plan de Efectividad.</t>
  </si>
  <si>
    <t>Meta, resultado, fórmula, fuente, responsable, evidencia, brecha, estado, decisión, tendencia y avance de acciones.</t>
  </si>
  <si>
    <t>Dashboard integrado, fichas técnicas, evidencias vinculadas, minutas de revisión y planes de mejora.</t>
  </si>
  <si>
    <t xml:space="preserve"> E1 a E7.</t>
  </si>
  <si>
    <t>E1-K1 a E7-K4.</t>
  </si>
  <si>
    <t>Cruce maestro</t>
  </si>
  <si>
    <t>Usar una matriz única de trazabilidad y conservar definiciones, fórmulas y metas consistentes entre planes.</t>
  </si>
  <si>
    <t>Gobernanza, seguimiento, decisiones, recursos y cierre del ciclo de mejora.</t>
  </si>
  <si>
    <t>100% de los KPI actualizados</t>
  </si>
  <si>
    <t>Maria</t>
  </si>
  <si>
    <t>Dashboard de Planeamiento Institucional</t>
  </si>
  <si>
    <t>I-11</t>
  </si>
  <si>
    <t xml:space="preserve">Número de Capacitaciones al Personal </t>
  </si>
  <si>
    <t>IO-2, IO-3</t>
  </si>
  <si>
    <t>Recursos Humanos</t>
  </si>
  <si>
    <t>Formularios de tasación</t>
  </si>
  <si>
    <t>Determinar si las necesidades identificadas en las evaluaciones de desempeño se convierten en acciones concretas de capacitación y desarrollo.</t>
  </si>
  <si>
    <t>Personal que cumplió con las capacitaciones</t>
  </si>
  <si>
    <t>Asistencia en formularios</t>
  </si>
  <si>
    <t>E3-S02</t>
  </si>
  <si>
    <t>E3-K2</t>
  </si>
  <si>
    <t>Complementario / condicionado</t>
  </si>
  <si>
    <t>Separar faculty y staff. La evaluación de desempeño no sustituye capacitación ni permanencia; debe alimentar sus planes.</t>
  </si>
  <si>
    <t>Definir capacitación, reconocimiento, sucesión, contratación y mejora del desempeño.</t>
  </si>
  <si>
    <t>≥ 85%</t>
  </si>
  <si>
    <r>
      <rPr>
        <rFont val="Arial"/>
        <color theme="1"/>
      </rPr>
      <t>93,33%  Informe con corte a Junio 2026: Informe del Indicado 3.6 - Capacitación Administrativa</t>
    </r>
    <r>
      <rPr>
        <rFont val="Arial"/>
        <color rgb="FF1155CC"/>
        <u/>
      </rPr>
      <t xml:space="preserve">
</t>
    </r>
  </si>
  <si>
    <t>Total</t>
  </si>
  <si>
    <t>Objetivos institucionales de Blackwell Global University</t>
  </si>
  <si>
    <t>Establecer una comunidad de aprendizaje diversa y global, mediante programas académicos y educación continua en diversos idiomas.</t>
  </si>
  <si>
    <t>IO-2</t>
  </si>
  <si>
    <t>Mantener un claustro académico superior que permita proyectar una imagen institucional de calidad y solidez, mediante una selección curada de profesores con experiencia internacional vigente, especialistas en su materia.</t>
  </si>
  <si>
    <t>IO-3</t>
  </si>
  <si>
    <t>Contar con personal administrativo que cumple estándares globales, de idiomas, experiencia, y perfil innovador, y que permita el alcance de eficiencias operativas.</t>
  </si>
  <si>
    <t>IO-4</t>
  </si>
  <si>
    <t>Proveer, mediante tecnología y plataformas educativas vigentes, una experiencia de aprendizaje moderna.</t>
  </si>
  <si>
    <t>Ofrecer oportunidades a nuestros estudiantes, alumni, profesorado, y staff, mediante colaboración a nivel local, regional y global, con empresas, entidades educativas y otras.</t>
  </si>
  <si>
    <t>IO-6</t>
  </si>
  <si>
    <t>Alimentar una cultura universitaria que represente la identidad de BGU, reconocida por sus principios éticos, sentido de pertenencia, inclusión y su relación y compromiso con la comunidad.</t>
  </si>
  <si>
    <t>IO-7</t>
  </si>
  <si>
    <t>Búsqueda constante de alternativas de acceso y oportunidades continuas de apoyo a estudiantes y alumni, basado en mérito académico y el cumplimiento del perfil de la cultura BGU.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</si>
</sst>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2.0"/>
      <color rgb="FFFFFFFF"/>
      <name val="Arial"/>
    </font>
    <font/>
    <font>
      <color theme="1"/>
      <name val="Arial"/>
      <scheme val="minor"/>
    </font>
    <font>
      <b/>
      <sz val="10.0"/>
      <color rgb="FFFFFFFF"/>
      <name val="Arial"/>
    </font>
    <font>
      <b/>
      <sz val="9.0"/>
      <color rgb="FF1F4E78"/>
      <name val="Arial"/>
    </font>
    <font>
      <sz val="9.0"/>
      <color rgb="FF111111"/>
      <name val="Arial"/>
    </font>
    <font>
      <sz val="9.0"/>
      <color rgb="FF000000"/>
      <name val="Arial"/>
    </font>
    <font>
      <color theme="1"/>
      <name val="Calibri"/>
    </font>
    <font>
      <b/>
      <sz val="9.0"/>
      <color rgb="FFFFFFFF"/>
      <name val="Arial"/>
    </font>
    <font>
      <b/>
      <sz val="8.0"/>
      <color rgb="FFFFFFFF"/>
      <name val="Arial"/>
    </font>
    <font>
      <sz val="8.0"/>
      <color theme="1"/>
      <name val="Arial"/>
    </font>
    <font>
      <color theme="1"/>
      <name val="Arial"/>
    </font>
    <font>
      <u/>
      <color theme="1"/>
      <name val="Arial"/>
    </font>
    <font>
      <b/>
      <sz val="8.0"/>
      <color theme="1"/>
      <name val="Arial"/>
    </font>
    <font>
      <u/>
      <sz val="10.0"/>
      <color theme="1"/>
      <name val="Arial"/>
    </font>
    <font>
      <sz val="11.0"/>
      <color theme="1"/>
      <name val="Calibri"/>
    </font>
    <font>
      <u/>
      <color theme="1"/>
      <name val="Arial"/>
    </font>
    <font>
      <sz val="11.0"/>
      <color theme="1"/>
      <name val="Carlito"/>
    </font>
    <font>
      <u/>
      <color theme="1"/>
      <name val="Arial"/>
      <scheme val="minor"/>
    </font>
    <font>
      <u/>
      <sz val="11.0"/>
      <color rgb="FF0000FF"/>
      <name val="Calibri"/>
    </font>
    <font>
      <sz val="10.0"/>
      <color theme="1"/>
      <name val="Arial"/>
    </font>
    <font>
      <u/>
      <sz val="10.0"/>
      <color rgb="FF0000FF"/>
      <name val="Arial"/>
    </font>
    <font>
      <u/>
      <color theme="1"/>
      <name val="Arial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i/>
      <sz val="12.0"/>
      <color rgb="FF111111"/>
      <name val="Arial"/>
    </font>
    <font>
      <b/>
      <i/>
      <sz val="12.0"/>
      <color rgb="FF111111"/>
      <name val="Arial"/>
    </font>
    <font>
      <sz val="11.0"/>
      <color rgb="FF222222"/>
      <name val="Arial"/>
    </font>
    <font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7FBFF"/>
        <bgColor rgb="FFF7FBFF"/>
      </patternFill>
    </fill>
    <fill>
      <patternFill patternType="solid">
        <fgColor rgb="FFC5FFD0"/>
        <bgColor rgb="FFC5FFD0"/>
      </patternFill>
    </fill>
    <fill>
      <patternFill patternType="solid">
        <fgColor rgb="FF274E13"/>
        <bgColor rgb="FF274E13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0" fontId="12" numFmtId="10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vertical="center"/>
    </xf>
    <xf borderId="4" fillId="0" fontId="12" numFmtId="0" xfId="0" applyAlignment="1" applyBorder="1" applyFont="1">
      <alignment readingOrder="0" vertical="center"/>
    </xf>
    <xf borderId="4" fillId="6" fontId="14" numFmtId="0" xfId="0" applyAlignment="1" applyBorder="1" applyFill="1" applyFont="1">
      <alignment horizontal="center" shrinkToFit="0" vertical="center" wrapText="1"/>
    </xf>
    <xf borderId="4" fillId="7" fontId="14" numFmtId="0" xfId="0" applyAlignment="1" applyBorder="1" applyFill="1" applyFont="1">
      <alignment horizontal="center" shrinkToFit="0" vertical="center" wrapText="1"/>
    </xf>
    <xf borderId="4" fillId="0" fontId="3" numFmtId="10" xfId="0" applyAlignment="1" applyBorder="1" applyFont="1" applyNumberFormat="1">
      <alignment horizontal="center" readingOrder="0" shrinkToFit="0" vertical="center" wrapText="1"/>
    </xf>
    <xf borderId="4" fillId="0" fontId="15" numFmtId="0" xfId="0" applyAlignment="1" applyBorder="1" applyFont="1">
      <alignment horizontal="left" readingOrder="0" shrinkToFit="0" vertical="center" wrapText="1"/>
    </xf>
    <xf borderId="4" fillId="8" fontId="11" numFmtId="0" xfId="0" applyAlignment="1" applyBorder="1" applyFill="1" applyFont="1">
      <alignment horizontal="center" shrinkToFit="0" vertical="center" wrapText="1"/>
    </xf>
    <xf borderId="4" fillId="9" fontId="10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vertical="bottom"/>
    </xf>
    <xf borderId="4" fillId="10" fontId="5" numFmtId="0" xfId="0" applyAlignment="1" applyBorder="1" applyFill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vertical="center"/>
    </xf>
    <xf borderId="4" fillId="0" fontId="12" numFmtId="9" xfId="0" applyAlignment="1" applyBorder="1" applyFont="1" applyNumberFormat="1">
      <alignment horizontal="center" readingOrder="0" shrinkToFit="0" vertical="center" wrapText="1"/>
    </xf>
    <xf borderId="4" fillId="0" fontId="17" numFmtId="0" xfId="0" applyAlignment="1" applyBorder="1" applyFont="1">
      <alignment horizontal="left" shrinkToFit="0" vertical="center" wrapText="1"/>
    </xf>
    <xf borderId="4" fillId="11" fontId="18" numFmtId="0" xfId="0" applyAlignment="1" applyBorder="1" applyFill="1" applyFont="1">
      <alignment shrinkToFit="0" vertical="center" wrapText="1"/>
    </xf>
    <xf borderId="4" fillId="0" fontId="18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left" readingOrder="0" shrinkToFit="0" vertical="center" wrapText="1"/>
    </xf>
    <xf borderId="4" fillId="0" fontId="3" numFmtId="9" xfId="0" applyAlignment="1" applyBorder="1" applyFont="1" applyNumberFormat="1">
      <alignment horizontal="center" shrinkToFit="0" vertical="center" wrapText="1"/>
    </xf>
    <xf borderId="4" fillId="12" fontId="3" numFmtId="0" xfId="0" applyAlignment="1" applyBorder="1" applyFill="1" applyFont="1">
      <alignment horizontal="center" shrinkToFit="0" vertical="center" wrapText="1"/>
    </xf>
    <xf borderId="4" fillId="0" fontId="16" numFmtId="9" xfId="0" applyAlignment="1" applyBorder="1" applyFont="1" applyNumberFormat="1">
      <alignment horizontal="center" shrinkToFit="0" vertical="center" wrapText="1"/>
    </xf>
    <xf borderId="4" fillId="0" fontId="20" numFmtId="0" xfId="0" applyAlignment="1" applyBorder="1" applyFont="1">
      <alignment shrinkToFit="0" vertical="center" wrapText="1"/>
    </xf>
    <xf borderId="4" fillId="0" fontId="21" numFmtId="10" xfId="0" applyAlignment="1" applyBorder="1" applyFont="1" applyNumberFormat="1">
      <alignment horizontal="center" readingOrder="0" shrinkToFit="0" vertical="center" wrapText="1"/>
    </xf>
    <xf borderId="4" fillId="0" fontId="22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23" numFmtId="0" xfId="0" applyAlignment="1" applyBorder="1" applyFont="1">
      <alignment horizontal="left" shrinkToFit="0" vertical="center" wrapText="1"/>
    </xf>
    <xf borderId="4" fillId="0" fontId="16" numFmtId="9" xfId="0" applyAlignment="1" applyBorder="1" applyFont="1" applyNumberFormat="1">
      <alignment horizontal="center" readingOrder="0" shrinkToFit="0" vertical="center" wrapText="1"/>
    </xf>
    <xf borderId="4" fillId="0" fontId="24" numFmtId="0" xfId="0" applyAlignment="1" applyBorder="1" applyFont="1">
      <alignment shrinkToFit="0" vertical="center" wrapText="1"/>
    </xf>
    <xf borderId="4" fillId="0" fontId="3" numFmtId="9" xfId="0" applyAlignment="1" applyBorder="1" applyFont="1" applyNumberFormat="1">
      <alignment horizontal="center" readingOrder="0" shrinkToFit="0" vertical="center" wrapText="1"/>
    </xf>
    <xf borderId="4" fillId="0" fontId="25" numFmtId="0" xfId="0" applyAlignment="1" applyBorder="1" applyFont="1">
      <alignment readingOrder="0" shrinkToFit="0" vertical="center" wrapText="1"/>
    </xf>
    <xf borderId="4" fillId="0" fontId="12" numFmtId="9" xfId="0" applyAlignment="1" applyBorder="1" applyFont="1" applyNumberFormat="1">
      <alignment horizontal="center" readingOrder="0" shrinkToFit="0" vertical="center" wrapText="1"/>
    </xf>
    <xf borderId="4" fillId="0" fontId="26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right" readingOrder="0" vertical="center"/>
    </xf>
    <xf borderId="0" fillId="0" fontId="3" numFmtId="0" xfId="0" applyAlignment="1" applyFont="1">
      <alignment readingOrder="0" vertical="center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7" numFmtId="0" xfId="0" applyAlignment="1" applyFont="1">
      <alignment horizontal="left"/>
    </xf>
    <xf borderId="1" fillId="13" fontId="28" numFmtId="0" xfId="0" applyAlignment="1" applyBorder="1" applyFill="1" applyFont="1">
      <alignment readingOrder="0" shrinkToFit="0" wrapText="1"/>
    </xf>
    <xf borderId="4" fillId="0" fontId="29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readingOrder="0" shrinkToFit="0" wrapText="1"/>
    </xf>
    <xf borderId="1" fillId="0" fontId="30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0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2">
    <dxf>
      <font>
        <b/>
        <color rgb="FF375623"/>
      </font>
      <fill>
        <patternFill patternType="solid">
          <fgColor rgb="FFE2F0D9"/>
          <bgColor rgb="FFE2F0D9"/>
        </patternFill>
      </fill>
      <border/>
    </dxf>
    <dxf>
      <font>
        <b/>
        <color rgb="FF1F4E78"/>
      </font>
      <fill>
        <patternFill patternType="solid">
          <fgColor rgb="FFDDEBF7"/>
          <bgColor rgb="FFDDEBF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ía del Rosario Marceliano Chaparro" id="{5f9f9a75-53d3-45c6-9b41-6db807fe1e9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12" dT="2026-07-17T19:40:04.00" personId="{5f9f9a75-53d3-45c6-9b41-6db807fe1e9d}" id="{846f9554-cd57-40b3-a630-590d13cbd683}" done="1">
    <x18tc:text xml:space="preserve">vinculado a satisfacción</x18tc:text>
  </x18tc:threadedComment>
  <x18tc:threadedComment ref="R7" dT="2026-07-17T19:30:08.00" personId="{5f9f9a75-53d3-45c6-9b41-6db807fe1e9d}" id="{af7cae96-95e6-46f8-9629-27e2bb4eebef}" done="1">
    <x18tc:text xml:space="preserve">confirmación si cuenta con la evidencia</x18tc:text>
  </x18tc:threadedComment>
  <x18tc:threadedComment ref="A1" dT="2026-07-17T19:49:28.00" personId="{5f9f9a75-53d3-45c6-9b41-6db807fe1e9d}" id="{22ba4384-a1df-487e-8b5c-765854971d28}" done="0">
    <x18tc:text xml:space="preserve">verificar resultado</x18tc:text>
  </x18tc:threadedComment>
  <x18tc:threadedComment ref="R11" dT="2026-07-17T19:38:39.00" personId="{5f9f9a75-53d3-45c6-9b41-6db807fe1e9d}" id="{3a19f86c-e91b-47b6-8e3e-aca0d3db6867}" done="1">
    <x18tc:text xml:space="preserve">elaborar una lista de convenios y calcular cuantos de ellos tienen participación institucional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HFZ1pyHOjbXJV1kg5HGlDGGXGM4ou7L/view?usp=sharing" TargetMode="External"/><Relationship Id="rId10" Type="http://schemas.openxmlformats.org/officeDocument/2006/relationships/hyperlink" Target="https://drive.google.com/file/d/15N5BwJ16rYWiTDyLzCRv9q-1AkMQxCM5/view?usp=drive_link" TargetMode="External"/><Relationship Id="rId13" Type="http://schemas.openxmlformats.org/officeDocument/2006/relationships/hyperlink" Target="https://docs.google.com/spreadsheets/d/1fv4E-27mAC__qaOiNRGOfYycMGtY9BrP/edit?usp=sharing&amp;ouid=102864913305251693145&amp;rtpof=true&amp;sd=true" TargetMode="External"/><Relationship Id="rId12" Type="http://schemas.openxmlformats.org/officeDocument/2006/relationships/hyperlink" Target="https://docs.google.com/spreadsheets/d/1fv4E-27mAC__qaOiNRGOfYycMGtY9BrP/edit?usp=sharing&amp;ouid=102864913305251693145&amp;rtpof=true&amp;sd=true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He6WYIj7Gfbf3PPGT5KRMkmeWUJF0b_L/view?usp=sharing" TargetMode="External"/><Relationship Id="rId9" Type="http://schemas.openxmlformats.org/officeDocument/2006/relationships/hyperlink" Target="https://campus.blackwell.university/mod/feedback/show_entries.php?id=51377&amp;userid&amp;showcompleted&amp;delete" TargetMode="External"/><Relationship Id="rId15" Type="http://schemas.openxmlformats.org/officeDocument/2006/relationships/hyperlink" Target="https://docs.google.com/document/d/1ZNoM3Axx9AGv8Mab3N0cNxaGwCUcmTT-tSdI1w5UzS0/edit?tab=t.0" TargetMode="External"/><Relationship Id="rId14" Type="http://schemas.openxmlformats.org/officeDocument/2006/relationships/hyperlink" Target="https://drive.google.com/file/d/1oZiW34bois_SBb4m9bYHdh7vpYavk8u-/view?usp=drive_link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drive/folders/17e0XA0UAdXGXFTVY5xrSajHnQDpPw09f?usp=drive_link" TargetMode="External"/><Relationship Id="rId6" Type="http://schemas.openxmlformats.org/officeDocument/2006/relationships/hyperlink" Target="https://drive.google.com/file/d/1He6WYIj7Gfbf3PPGT5KRMkmeWUJF0b_L/view?usp=sharing" TargetMode="External"/><Relationship Id="rId7" Type="http://schemas.openxmlformats.org/officeDocument/2006/relationships/hyperlink" Target="https://drive.google.com/drive/folders/16MVu7EHjyVBKRhgF3Zqb3viS9gH_xSub?usp=sharing" TargetMode="External"/><Relationship Id="rId8" Type="http://schemas.openxmlformats.org/officeDocument/2006/relationships/hyperlink" Target="https://docs.google.com/spreadsheets/d/18rgZshLinN7y3UE0a0yYRz8MT70Ff5D56FztUu5RrpQ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0"/>
    <col customWidth="1" min="2" max="2" width="34.0"/>
    <col customWidth="1" min="3" max="3" width="11.0"/>
    <col customWidth="1" min="4" max="4" width="19.25"/>
    <col customWidth="1" hidden="1" min="5" max="5" width="17.0"/>
    <col customWidth="1" hidden="1" min="6" max="6" width="23.0"/>
    <col customWidth="1" hidden="1" min="7" max="7" width="24.0"/>
    <col customWidth="1" min="8" max="8" width="25.63"/>
    <col customWidth="1" hidden="1" min="9" max="9" width="32.38"/>
    <col customWidth="1" hidden="1" min="10" max="10" width="35.0"/>
    <col customWidth="1" hidden="1" min="11" max="11" width="12.0"/>
    <col customWidth="1" hidden="1" min="12" max="12" width="10.38"/>
    <col customWidth="1" hidden="1" min="13" max="13" width="20.0"/>
    <col customWidth="1" hidden="1" min="14" max="14" width="38.0"/>
    <col customWidth="1" hidden="1" min="15" max="15" width="34.0"/>
    <col customWidth="1" min="16" max="16" width="21.13"/>
    <col customWidth="1" min="18" max="18" width="13.5"/>
    <col customWidth="1" min="19" max="19" width="42.25"/>
    <col customWidth="1" min="20" max="20" width="21.13"/>
    <col customWidth="1" min="21" max="21" width="8.63"/>
    <col customWidth="1" min="22" max="22" width="9.75"/>
    <col customWidth="1" min="24" max="24" width="15.75"/>
    <col customWidth="1" min="25" max="25" width="19.75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</row>
    <row r="2" ht="24.0" customHeight="1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6" t="s">
        <v>16</v>
      </c>
      <c r="Q2" s="5" t="s">
        <v>6</v>
      </c>
      <c r="R2" s="6" t="s">
        <v>17</v>
      </c>
      <c r="S2" s="6" t="s">
        <v>18</v>
      </c>
      <c r="T2" s="5" t="s">
        <v>19</v>
      </c>
      <c r="U2" s="6"/>
      <c r="V2" s="6" t="s">
        <v>20</v>
      </c>
      <c r="W2" s="4"/>
      <c r="X2" s="4"/>
      <c r="Y2" s="4"/>
      <c r="Z2" s="4"/>
    </row>
    <row r="3">
      <c r="A3" s="7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9" t="s">
        <v>28</v>
      </c>
      <c r="I3" s="9" t="s">
        <v>29</v>
      </c>
      <c r="J3" s="9" t="s">
        <v>30</v>
      </c>
      <c r="K3" s="10" t="s">
        <v>31</v>
      </c>
      <c r="L3" s="10" t="s">
        <v>32</v>
      </c>
      <c r="M3" s="9" t="s">
        <v>33</v>
      </c>
      <c r="N3" s="9" t="s">
        <v>34</v>
      </c>
      <c r="O3" s="9" t="s">
        <v>35</v>
      </c>
      <c r="P3" s="11" t="s">
        <v>36</v>
      </c>
      <c r="Q3" s="12" t="s">
        <v>37</v>
      </c>
      <c r="R3" s="13"/>
      <c r="S3" s="14" t="s">
        <v>38</v>
      </c>
      <c r="T3" s="15" t="s">
        <v>39</v>
      </c>
      <c r="U3" s="15" t="b">
        <v>0</v>
      </c>
      <c r="V3" s="15"/>
      <c r="W3" s="16" t="s">
        <v>40</v>
      </c>
      <c r="X3" s="16" t="s">
        <v>41</v>
      </c>
      <c r="Y3" s="16" t="s">
        <v>42</v>
      </c>
      <c r="Z3" s="17" t="s">
        <v>43</v>
      </c>
    </row>
    <row r="4">
      <c r="A4" s="7" t="s">
        <v>44</v>
      </c>
      <c r="B4" s="8" t="s">
        <v>45</v>
      </c>
      <c r="C4" s="8" t="s">
        <v>23</v>
      </c>
      <c r="D4" s="8" t="s">
        <v>24</v>
      </c>
      <c r="E4" s="8" t="s">
        <v>46</v>
      </c>
      <c r="F4" s="8" t="s">
        <v>26</v>
      </c>
      <c r="G4" s="8" t="s">
        <v>47</v>
      </c>
      <c r="H4" s="9" t="s">
        <v>48</v>
      </c>
      <c r="I4" s="9" t="s">
        <v>49</v>
      </c>
      <c r="J4" s="9" t="s">
        <v>50</v>
      </c>
      <c r="K4" s="10" t="s">
        <v>51</v>
      </c>
      <c r="L4" s="10" t="s">
        <v>32</v>
      </c>
      <c r="M4" s="9" t="s">
        <v>33</v>
      </c>
      <c r="N4" s="9" t="s">
        <v>52</v>
      </c>
      <c r="O4" s="9" t="s">
        <v>53</v>
      </c>
      <c r="P4" s="11" t="s">
        <v>54</v>
      </c>
      <c r="Q4" s="12" t="s">
        <v>37</v>
      </c>
      <c r="R4" s="13"/>
      <c r="S4" s="14" t="s">
        <v>55</v>
      </c>
      <c r="T4" s="15" t="s">
        <v>39</v>
      </c>
      <c r="U4" s="15" t="b">
        <v>0</v>
      </c>
      <c r="V4" s="15"/>
      <c r="W4" s="18" t="s">
        <v>56</v>
      </c>
      <c r="X4" s="19" t="s">
        <v>57</v>
      </c>
      <c r="Y4" s="19" t="s">
        <v>58</v>
      </c>
      <c r="Z4" s="19">
        <f>COUNTIF($T$4:$T37,"Cumplido")</f>
        <v>13</v>
      </c>
    </row>
    <row r="5">
      <c r="A5" s="7" t="s">
        <v>59</v>
      </c>
      <c r="B5" s="8" t="s">
        <v>60</v>
      </c>
      <c r="C5" s="8" t="s">
        <v>23</v>
      </c>
      <c r="D5" s="8" t="s">
        <v>61</v>
      </c>
      <c r="E5" s="8" t="s">
        <v>46</v>
      </c>
      <c r="F5" s="8" t="s">
        <v>26</v>
      </c>
      <c r="G5" s="8" t="s">
        <v>62</v>
      </c>
      <c r="H5" s="9" t="s">
        <v>63</v>
      </c>
      <c r="I5" s="9" t="s">
        <v>64</v>
      </c>
      <c r="J5" s="9" t="s">
        <v>65</v>
      </c>
      <c r="K5" s="10" t="s">
        <v>66</v>
      </c>
      <c r="L5" s="10" t="s">
        <v>67</v>
      </c>
      <c r="M5" s="9" t="s">
        <v>68</v>
      </c>
      <c r="N5" s="9" t="s">
        <v>69</v>
      </c>
      <c r="O5" s="9" t="s">
        <v>70</v>
      </c>
      <c r="P5" s="11" t="s">
        <v>71</v>
      </c>
      <c r="Q5" s="12" t="s">
        <v>37</v>
      </c>
      <c r="R5" s="20">
        <v>0.8787</v>
      </c>
      <c r="S5" s="21" t="s">
        <v>72</v>
      </c>
      <c r="T5" s="22" t="s">
        <v>56</v>
      </c>
      <c r="U5" s="23" t="b">
        <v>1</v>
      </c>
      <c r="V5" s="22"/>
      <c r="W5" s="24" t="s">
        <v>73</v>
      </c>
      <c r="X5" s="19" t="s">
        <v>74</v>
      </c>
      <c r="Y5" s="19" t="s">
        <v>75</v>
      </c>
      <c r="Z5" s="19">
        <f>COUNTIF($T$4:$T37,"Parcialmente cumplido")</f>
        <v>1</v>
      </c>
    </row>
    <row r="6">
      <c r="A6" s="7" t="s">
        <v>76</v>
      </c>
      <c r="B6" s="8" t="s">
        <v>77</v>
      </c>
      <c r="C6" s="8" t="s">
        <v>23</v>
      </c>
      <c r="D6" s="8" t="s">
        <v>24</v>
      </c>
      <c r="E6" s="8" t="s">
        <v>78</v>
      </c>
      <c r="F6" s="8" t="s">
        <v>26</v>
      </c>
      <c r="G6" s="8" t="s">
        <v>79</v>
      </c>
      <c r="H6" s="9" t="s">
        <v>80</v>
      </c>
      <c r="I6" s="9" t="s">
        <v>81</v>
      </c>
      <c r="J6" s="9" t="s">
        <v>82</v>
      </c>
      <c r="K6" s="10" t="s">
        <v>51</v>
      </c>
      <c r="L6" s="10" t="s">
        <v>32</v>
      </c>
      <c r="M6" s="9" t="s">
        <v>33</v>
      </c>
      <c r="N6" s="9" t="s">
        <v>83</v>
      </c>
      <c r="O6" s="9" t="s">
        <v>84</v>
      </c>
      <c r="P6" s="11" t="s">
        <v>85</v>
      </c>
      <c r="Q6" s="12" t="s">
        <v>37</v>
      </c>
      <c r="R6" s="13"/>
      <c r="S6" s="14" t="s">
        <v>86</v>
      </c>
      <c r="T6" s="15" t="s">
        <v>39</v>
      </c>
      <c r="U6" s="15" t="b">
        <v>0</v>
      </c>
      <c r="V6" s="15"/>
      <c r="W6" s="25" t="s">
        <v>39</v>
      </c>
      <c r="X6" s="19" t="s">
        <v>87</v>
      </c>
      <c r="Y6" s="19" t="s">
        <v>88</v>
      </c>
      <c r="Z6" s="19">
        <f>COUNTIF($T$4:$T37,"No cumplido")</f>
        <v>4</v>
      </c>
    </row>
    <row r="7">
      <c r="A7" s="7" t="s">
        <v>89</v>
      </c>
      <c r="B7" s="12" t="s">
        <v>90</v>
      </c>
      <c r="C7" s="8" t="s">
        <v>23</v>
      </c>
      <c r="D7" s="8" t="s">
        <v>91</v>
      </c>
      <c r="E7" s="8" t="s">
        <v>92</v>
      </c>
      <c r="F7" s="8" t="s">
        <v>26</v>
      </c>
      <c r="G7" s="8" t="s">
        <v>93</v>
      </c>
      <c r="H7" s="10" t="s">
        <v>94</v>
      </c>
      <c r="I7" s="9" t="s">
        <v>95</v>
      </c>
      <c r="J7" s="9" t="s">
        <v>96</v>
      </c>
      <c r="K7" s="10" t="s">
        <v>97</v>
      </c>
      <c r="L7" s="10" t="s">
        <v>98</v>
      </c>
      <c r="M7" s="9" t="s">
        <v>99</v>
      </c>
      <c r="N7" s="9" t="s">
        <v>100</v>
      </c>
      <c r="O7" s="9" t="s">
        <v>101</v>
      </c>
      <c r="P7" s="11" t="s">
        <v>102</v>
      </c>
      <c r="Q7" s="12" t="s">
        <v>37</v>
      </c>
      <c r="R7" s="26">
        <v>0.922</v>
      </c>
      <c r="S7" s="27" t="s">
        <v>103</v>
      </c>
      <c r="T7" s="15" t="s">
        <v>56</v>
      </c>
      <c r="U7" s="15" t="b">
        <v>1</v>
      </c>
      <c r="V7" s="15"/>
      <c r="W7" s="28" t="s">
        <v>104</v>
      </c>
      <c r="X7" s="19" t="s">
        <v>105</v>
      </c>
      <c r="Y7" s="19" t="s">
        <v>106</v>
      </c>
      <c r="Z7" s="19">
        <f>COUNTIF($T$4:$T37,"Sin datos")</f>
        <v>0</v>
      </c>
    </row>
    <row r="8">
      <c r="A8" s="7" t="s">
        <v>107</v>
      </c>
      <c r="B8" s="8" t="s">
        <v>108</v>
      </c>
      <c r="C8" s="8" t="s">
        <v>23</v>
      </c>
      <c r="D8" s="8" t="s">
        <v>61</v>
      </c>
      <c r="E8" s="8" t="s">
        <v>46</v>
      </c>
      <c r="F8" s="8" t="s">
        <v>26</v>
      </c>
      <c r="G8" s="8" t="s">
        <v>109</v>
      </c>
      <c r="H8" s="9" t="s">
        <v>110</v>
      </c>
      <c r="I8" s="9" t="s">
        <v>111</v>
      </c>
      <c r="J8" s="9" t="s">
        <v>112</v>
      </c>
      <c r="K8" s="10" t="s">
        <v>113</v>
      </c>
      <c r="L8" s="10" t="s">
        <v>114</v>
      </c>
      <c r="M8" s="9" t="s">
        <v>33</v>
      </c>
      <c r="N8" s="9" t="s">
        <v>115</v>
      </c>
      <c r="O8" s="9" t="s">
        <v>116</v>
      </c>
      <c r="P8" s="11" t="s">
        <v>117</v>
      </c>
      <c r="Q8" s="12" t="s">
        <v>37</v>
      </c>
      <c r="R8" s="20">
        <v>0.8635</v>
      </c>
      <c r="S8" s="21" t="s">
        <v>118</v>
      </c>
      <c r="T8" s="22" t="s">
        <v>56</v>
      </c>
      <c r="U8" s="23" t="b">
        <v>1</v>
      </c>
      <c r="V8" s="22"/>
      <c r="W8" s="29" t="s">
        <v>119</v>
      </c>
      <c r="X8" s="19" t="s">
        <v>120</v>
      </c>
      <c r="Y8" s="19" t="s">
        <v>121</v>
      </c>
      <c r="Z8" s="19">
        <f>COUNTIF($T$4:$T37,"No aplicable / cohorte no madura")</f>
        <v>1</v>
      </c>
    </row>
    <row r="9">
      <c r="A9" s="30" t="s">
        <v>122</v>
      </c>
      <c r="B9" s="8" t="s">
        <v>123</v>
      </c>
      <c r="C9" s="8" t="s">
        <v>23</v>
      </c>
      <c r="D9" s="8" t="s">
        <v>91</v>
      </c>
      <c r="E9" s="8" t="s">
        <v>46</v>
      </c>
      <c r="F9" s="8" t="s">
        <v>124</v>
      </c>
      <c r="G9" s="8" t="s">
        <v>125</v>
      </c>
      <c r="H9" s="10" t="s">
        <v>126</v>
      </c>
      <c r="I9" s="9" t="s">
        <v>127</v>
      </c>
      <c r="J9" s="9" t="s">
        <v>128</v>
      </c>
      <c r="K9" s="10" t="s">
        <v>129</v>
      </c>
      <c r="L9" s="10" t="s">
        <v>130</v>
      </c>
      <c r="M9" s="9" t="s">
        <v>131</v>
      </c>
      <c r="N9" s="9" t="s">
        <v>132</v>
      </c>
      <c r="O9" s="9" t="s">
        <v>133</v>
      </c>
      <c r="P9" s="11" t="s">
        <v>134</v>
      </c>
      <c r="Q9" s="12" t="s">
        <v>135</v>
      </c>
      <c r="R9" s="13">
        <v>0.0</v>
      </c>
      <c r="S9" s="31"/>
      <c r="T9" s="15" t="s">
        <v>39</v>
      </c>
      <c r="U9" s="15" t="b">
        <v>1</v>
      </c>
      <c r="V9" s="15"/>
      <c r="Y9" s="32"/>
      <c r="Z9" s="4"/>
    </row>
    <row r="10">
      <c r="A10" s="33" t="s">
        <v>136</v>
      </c>
      <c r="B10" s="12" t="s">
        <v>137</v>
      </c>
      <c r="C10" s="8" t="s">
        <v>23</v>
      </c>
      <c r="D10" s="8" t="s">
        <v>138</v>
      </c>
      <c r="E10" s="8" t="s">
        <v>139</v>
      </c>
      <c r="F10" s="8" t="s">
        <v>140</v>
      </c>
      <c r="G10" s="12" t="s">
        <v>141</v>
      </c>
      <c r="H10" s="10" t="s">
        <v>142</v>
      </c>
      <c r="I10" s="9" t="s">
        <v>143</v>
      </c>
      <c r="J10" s="9" t="s">
        <v>144</v>
      </c>
      <c r="K10" s="10" t="s">
        <v>145</v>
      </c>
      <c r="L10" s="10" t="s">
        <v>146</v>
      </c>
      <c r="M10" s="9" t="s">
        <v>147</v>
      </c>
      <c r="N10" s="9" t="s">
        <v>148</v>
      </c>
      <c r="O10" s="9" t="s">
        <v>149</v>
      </c>
      <c r="P10" s="34" t="s">
        <v>150</v>
      </c>
      <c r="Q10" s="12" t="s">
        <v>37</v>
      </c>
      <c r="R10" s="35">
        <v>1.0</v>
      </c>
      <c r="S10" s="36" t="s">
        <v>151</v>
      </c>
      <c r="T10" s="22" t="s">
        <v>56</v>
      </c>
      <c r="U10" s="23" t="b">
        <v>1</v>
      </c>
      <c r="V10" s="22"/>
      <c r="W10" s="37" t="s">
        <v>152</v>
      </c>
      <c r="X10" s="38"/>
      <c r="Y10" s="32"/>
      <c r="Z10" s="4"/>
    </row>
    <row r="11">
      <c r="A11" s="33" t="s">
        <v>153</v>
      </c>
      <c r="B11" s="12" t="s">
        <v>154</v>
      </c>
      <c r="C11" s="8" t="s">
        <v>23</v>
      </c>
      <c r="D11" s="12" t="s">
        <v>155</v>
      </c>
      <c r="E11" s="8" t="s">
        <v>139</v>
      </c>
      <c r="F11" s="39" t="s">
        <v>156</v>
      </c>
      <c r="G11" s="40" t="s">
        <v>157</v>
      </c>
      <c r="H11" s="10" t="s">
        <v>158</v>
      </c>
      <c r="I11" s="9" t="s">
        <v>159</v>
      </c>
      <c r="J11" s="9" t="s">
        <v>160</v>
      </c>
      <c r="K11" s="10" t="s">
        <v>161</v>
      </c>
      <c r="L11" s="10" t="s">
        <v>162</v>
      </c>
      <c r="M11" s="9" t="s">
        <v>163</v>
      </c>
      <c r="N11" s="9" t="s">
        <v>164</v>
      </c>
      <c r="O11" s="9" t="s">
        <v>165</v>
      </c>
      <c r="P11" s="11" t="s">
        <v>166</v>
      </c>
      <c r="Q11" s="12" t="s">
        <v>37</v>
      </c>
      <c r="R11" s="26">
        <v>0.4908</v>
      </c>
      <c r="S11" s="41" t="s">
        <v>167</v>
      </c>
      <c r="T11" s="15" t="s">
        <v>56</v>
      </c>
      <c r="U11" s="15" t="b">
        <v>1</v>
      </c>
      <c r="V11" s="15"/>
      <c r="W11" s="37" t="s">
        <v>168</v>
      </c>
      <c r="X11" s="38"/>
      <c r="Y11" s="32"/>
      <c r="Z11" s="4"/>
    </row>
    <row r="12">
      <c r="A12" s="7" t="s">
        <v>169</v>
      </c>
      <c r="B12" s="8" t="s">
        <v>170</v>
      </c>
      <c r="C12" s="8" t="s">
        <v>171</v>
      </c>
      <c r="D12" s="8" t="s">
        <v>172</v>
      </c>
      <c r="E12" s="8" t="s">
        <v>46</v>
      </c>
      <c r="F12" s="39" t="s">
        <v>124</v>
      </c>
      <c r="G12" s="12" t="s">
        <v>173</v>
      </c>
      <c r="H12" s="9" t="s">
        <v>174</v>
      </c>
      <c r="I12" s="9" t="s">
        <v>175</v>
      </c>
      <c r="J12" s="9" t="s">
        <v>176</v>
      </c>
      <c r="K12" s="10" t="s">
        <v>177</v>
      </c>
      <c r="L12" s="10" t="s">
        <v>178</v>
      </c>
      <c r="M12" s="9" t="s">
        <v>179</v>
      </c>
      <c r="N12" s="9" t="s">
        <v>180</v>
      </c>
      <c r="O12" s="9" t="s">
        <v>181</v>
      </c>
      <c r="P12" s="11" t="s">
        <v>182</v>
      </c>
      <c r="Q12" s="40" t="s">
        <v>135</v>
      </c>
      <c r="R12" s="42">
        <f>44/172</f>
        <v>0.2558139535</v>
      </c>
      <c r="S12" s="14" t="s">
        <v>183</v>
      </c>
      <c r="T12" s="15" t="s">
        <v>56</v>
      </c>
      <c r="U12" s="15" t="b">
        <v>1</v>
      </c>
      <c r="V12" s="15"/>
      <c r="W12" s="37" t="s">
        <v>184</v>
      </c>
      <c r="X12" s="38"/>
      <c r="Y12" s="32"/>
      <c r="Z12" s="4"/>
    </row>
    <row r="13">
      <c r="A13" s="7" t="s">
        <v>185</v>
      </c>
      <c r="B13" s="12" t="s">
        <v>186</v>
      </c>
      <c r="C13" s="8" t="s">
        <v>171</v>
      </c>
      <c r="D13" s="8" t="s">
        <v>187</v>
      </c>
      <c r="E13" s="8" t="s">
        <v>139</v>
      </c>
      <c r="F13" s="8" t="s">
        <v>124</v>
      </c>
      <c r="G13" s="8" t="s">
        <v>188</v>
      </c>
      <c r="H13" s="9" t="s">
        <v>189</v>
      </c>
      <c r="I13" s="9" t="s">
        <v>190</v>
      </c>
      <c r="J13" s="9" t="s">
        <v>191</v>
      </c>
      <c r="K13" s="9" t="s">
        <v>192</v>
      </c>
      <c r="L13" s="10" t="s">
        <v>193</v>
      </c>
      <c r="M13" s="9" t="s">
        <v>194</v>
      </c>
      <c r="N13" s="9" t="s">
        <v>195</v>
      </c>
      <c r="O13" s="9" t="s">
        <v>196</v>
      </c>
      <c r="P13" s="11" t="s">
        <v>197</v>
      </c>
      <c r="Q13" s="12" t="s">
        <v>135</v>
      </c>
      <c r="R13" s="43"/>
      <c r="S13" s="14" t="s">
        <v>198</v>
      </c>
      <c r="T13" s="15" t="s">
        <v>119</v>
      </c>
      <c r="U13" s="15" t="b">
        <v>1</v>
      </c>
      <c r="V13" s="15"/>
      <c r="W13" s="37" t="s">
        <v>199</v>
      </c>
      <c r="X13" s="38"/>
      <c r="Y13" s="32"/>
      <c r="Z13" s="4"/>
    </row>
    <row r="14">
      <c r="A14" s="7" t="s">
        <v>200</v>
      </c>
      <c r="B14" s="8" t="s">
        <v>201</v>
      </c>
      <c r="C14" s="8" t="s">
        <v>171</v>
      </c>
      <c r="D14" s="8" t="s">
        <v>202</v>
      </c>
      <c r="E14" s="39" t="s">
        <v>25</v>
      </c>
      <c r="F14" s="8" t="s">
        <v>124</v>
      </c>
      <c r="G14" s="8" t="s">
        <v>203</v>
      </c>
      <c r="H14" s="9" t="s">
        <v>204</v>
      </c>
      <c r="I14" s="9" t="s">
        <v>205</v>
      </c>
      <c r="J14" s="9" t="s">
        <v>206</v>
      </c>
      <c r="K14" s="10" t="s">
        <v>207</v>
      </c>
      <c r="L14" s="10" t="s">
        <v>208</v>
      </c>
      <c r="M14" s="9" t="s">
        <v>147</v>
      </c>
      <c r="N14" s="9" t="s">
        <v>209</v>
      </c>
      <c r="O14" s="9" t="s">
        <v>210</v>
      </c>
      <c r="P14" s="11" t="s">
        <v>211</v>
      </c>
      <c r="Q14" s="12" t="s">
        <v>135</v>
      </c>
      <c r="R14" s="13">
        <v>0.0</v>
      </c>
      <c r="S14" s="14" t="s">
        <v>212</v>
      </c>
      <c r="T14" s="15" t="s">
        <v>39</v>
      </c>
      <c r="U14" s="15" t="b">
        <v>1</v>
      </c>
      <c r="V14" s="15"/>
      <c r="W14" s="37" t="s">
        <v>213</v>
      </c>
      <c r="X14" s="38"/>
      <c r="Y14" s="32"/>
      <c r="Z14" s="4"/>
    </row>
    <row r="15" ht="90.75" customHeight="1">
      <c r="A15" s="7" t="s">
        <v>214</v>
      </c>
      <c r="B15" s="8" t="s">
        <v>215</v>
      </c>
      <c r="C15" s="8" t="s">
        <v>171</v>
      </c>
      <c r="D15" s="8" t="s">
        <v>216</v>
      </c>
      <c r="E15" s="8" t="s">
        <v>217</v>
      </c>
      <c r="F15" s="8" t="s">
        <v>218</v>
      </c>
      <c r="G15" s="8" t="s">
        <v>219</v>
      </c>
      <c r="H15" s="9" t="s">
        <v>220</v>
      </c>
      <c r="I15" s="9" t="s">
        <v>221</v>
      </c>
      <c r="J15" s="9" t="s">
        <v>222</v>
      </c>
      <c r="K15" s="10" t="s">
        <v>223</v>
      </c>
      <c r="L15" s="10" t="s">
        <v>224</v>
      </c>
      <c r="M15" s="9" t="s">
        <v>179</v>
      </c>
      <c r="N15" s="9" t="s">
        <v>225</v>
      </c>
      <c r="O15" s="9" t="s">
        <v>226</v>
      </c>
      <c r="P15" s="11" t="s">
        <v>227</v>
      </c>
      <c r="Q15" s="12" t="s">
        <v>135</v>
      </c>
      <c r="R15" s="44">
        <v>0.92</v>
      </c>
      <c r="S15" s="45" t="s">
        <v>228</v>
      </c>
      <c r="T15" s="15" t="s">
        <v>56</v>
      </c>
      <c r="U15" s="15" t="b">
        <v>1</v>
      </c>
      <c r="V15" s="15"/>
      <c r="W15" s="37" t="s">
        <v>229</v>
      </c>
      <c r="X15" s="38"/>
      <c r="Y15" s="32"/>
      <c r="Z15" s="4"/>
    </row>
    <row r="16" ht="78.0" customHeight="1">
      <c r="A16" s="7" t="s">
        <v>230</v>
      </c>
      <c r="B16" s="8" t="s">
        <v>231</v>
      </c>
      <c r="C16" s="8" t="s">
        <v>171</v>
      </c>
      <c r="D16" s="8" t="s">
        <v>232</v>
      </c>
      <c r="E16" s="8" t="s">
        <v>233</v>
      </c>
      <c r="F16" s="8" t="s">
        <v>234</v>
      </c>
      <c r="G16" s="8" t="s">
        <v>219</v>
      </c>
      <c r="H16" s="9" t="s">
        <v>235</v>
      </c>
      <c r="I16" s="9" t="s">
        <v>236</v>
      </c>
      <c r="J16" s="9" t="s">
        <v>237</v>
      </c>
      <c r="K16" s="10" t="s">
        <v>238</v>
      </c>
      <c r="L16" s="10" t="s">
        <v>239</v>
      </c>
      <c r="M16" s="9" t="s">
        <v>194</v>
      </c>
      <c r="N16" s="9" t="s">
        <v>240</v>
      </c>
      <c r="O16" s="9" t="s">
        <v>241</v>
      </c>
      <c r="P16" s="11" t="s">
        <v>211</v>
      </c>
      <c r="Q16" s="12" t="s">
        <v>242</v>
      </c>
      <c r="R16" s="46">
        <v>0.9669</v>
      </c>
      <c r="S16" s="47" t="s">
        <v>243</v>
      </c>
      <c r="T16" s="15" t="s">
        <v>56</v>
      </c>
      <c r="U16" s="15" t="b">
        <v>1</v>
      </c>
      <c r="V16" s="15"/>
      <c r="W16" s="37" t="s">
        <v>244</v>
      </c>
      <c r="X16" s="38"/>
      <c r="Y16" s="4"/>
      <c r="Z16" s="4"/>
    </row>
    <row r="17">
      <c r="A17" s="7" t="s">
        <v>245</v>
      </c>
      <c r="B17" s="39" t="s">
        <v>246</v>
      </c>
      <c r="C17" s="39" t="s">
        <v>171</v>
      </c>
      <c r="D17" s="39" t="s">
        <v>247</v>
      </c>
      <c r="E17" s="39" t="s">
        <v>25</v>
      </c>
      <c r="F17" s="39" t="s">
        <v>248</v>
      </c>
      <c r="G17" s="39" t="s">
        <v>219</v>
      </c>
      <c r="H17" s="9" t="s">
        <v>249</v>
      </c>
      <c r="I17" s="9" t="s">
        <v>250</v>
      </c>
      <c r="J17" s="9" t="s">
        <v>251</v>
      </c>
      <c r="K17" s="9" t="s">
        <v>252</v>
      </c>
      <c r="L17" s="10" t="s">
        <v>253</v>
      </c>
      <c r="M17" s="9" t="s">
        <v>194</v>
      </c>
      <c r="N17" s="9" t="s">
        <v>254</v>
      </c>
      <c r="O17" s="9" t="s">
        <v>255</v>
      </c>
      <c r="P17" s="11" t="s">
        <v>256</v>
      </c>
      <c r="Q17" s="40" t="s">
        <v>37</v>
      </c>
      <c r="R17" s="48">
        <v>4.54</v>
      </c>
      <c r="S17" s="49" t="s">
        <v>257</v>
      </c>
      <c r="T17" s="22" t="s">
        <v>56</v>
      </c>
      <c r="U17" s="23" t="b">
        <v>1</v>
      </c>
      <c r="V17" s="22"/>
      <c r="W17" s="4"/>
      <c r="X17" s="4"/>
      <c r="Y17" s="4"/>
      <c r="Z17" s="4"/>
    </row>
    <row r="18">
      <c r="A18" s="30" t="s">
        <v>258</v>
      </c>
      <c r="B18" s="12" t="s">
        <v>259</v>
      </c>
      <c r="C18" s="8" t="s">
        <v>171</v>
      </c>
      <c r="D18" s="8" t="s">
        <v>260</v>
      </c>
      <c r="E18" s="8" t="s">
        <v>261</v>
      </c>
      <c r="F18" s="39" t="s">
        <v>124</v>
      </c>
      <c r="G18" s="8" t="s">
        <v>262</v>
      </c>
      <c r="H18" s="9" t="s">
        <v>263</v>
      </c>
      <c r="I18" s="9" t="s">
        <v>264</v>
      </c>
      <c r="J18" s="9" t="s">
        <v>265</v>
      </c>
      <c r="K18" s="9" t="s">
        <v>266</v>
      </c>
      <c r="L18" s="10" t="s">
        <v>267</v>
      </c>
      <c r="M18" s="9" t="s">
        <v>194</v>
      </c>
      <c r="N18" s="9" t="s">
        <v>268</v>
      </c>
      <c r="O18" s="9" t="s">
        <v>269</v>
      </c>
      <c r="P18" s="11" t="s">
        <v>270</v>
      </c>
      <c r="Q18" s="40" t="s">
        <v>135</v>
      </c>
      <c r="R18" s="50">
        <v>0.91</v>
      </c>
      <c r="S18" s="51" t="s">
        <v>271</v>
      </c>
      <c r="T18" s="15" t="s">
        <v>56</v>
      </c>
      <c r="U18" s="15" t="b">
        <v>1</v>
      </c>
      <c r="V18" s="15"/>
      <c r="W18" s="4"/>
      <c r="X18" s="4"/>
      <c r="Y18" s="4"/>
      <c r="Z18" s="4"/>
    </row>
    <row r="19">
      <c r="A19" s="30" t="s">
        <v>272</v>
      </c>
      <c r="B19" s="39" t="s">
        <v>273</v>
      </c>
      <c r="C19" s="8" t="s">
        <v>171</v>
      </c>
      <c r="D19" s="8" t="s">
        <v>274</v>
      </c>
      <c r="E19" s="8" t="s">
        <v>261</v>
      </c>
      <c r="F19" s="39" t="s">
        <v>124</v>
      </c>
      <c r="G19" s="8" t="s">
        <v>262</v>
      </c>
      <c r="H19" s="9" t="s">
        <v>275</v>
      </c>
      <c r="I19" s="9" t="s">
        <v>276</v>
      </c>
      <c r="J19" s="9" t="s">
        <v>277</v>
      </c>
      <c r="K19" s="9" t="s">
        <v>278</v>
      </c>
      <c r="L19" s="10" t="s">
        <v>279</v>
      </c>
      <c r="M19" s="9" t="s">
        <v>280</v>
      </c>
      <c r="N19" s="9" t="s">
        <v>281</v>
      </c>
      <c r="O19" s="9" t="s">
        <v>282</v>
      </c>
      <c r="P19" s="11" t="s">
        <v>283</v>
      </c>
      <c r="Q19" s="40" t="s">
        <v>135</v>
      </c>
      <c r="R19" s="52">
        <v>0.56</v>
      </c>
      <c r="S19" s="53" t="s">
        <v>284</v>
      </c>
      <c r="T19" s="15" t="s">
        <v>285</v>
      </c>
      <c r="U19" s="15" t="b">
        <v>1</v>
      </c>
      <c r="V19" s="15"/>
      <c r="W19" s="4"/>
      <c r="X19" s="4"/>
      <c r="Y19" s="4"/>
      <c r="Z19" s="4"/>
    </row>
    <row r="20" ht="51.75" customHeight="1">
      <c r="A20" s="30" t="s">
        <v>286</v>
      </c>
      <c r="B20" s="8" t="s">
        <v>287</v>
      </c>
      <c r="C20" s="8" t="s">
        <v>171</v>
      </c>
      <c r="D20" s="39" t="s">
        <v>288</v>
      </c>
      <c r="E20" s="8" t="s">
        <v>139</v>
      </c>
      <c r="F20" s="8" t="s">
        <v>289</v>
      </c>
      <c r="G20" s="8" t="s">
        <v>290</v>
      </c>
      <c r="H20" s="9" t="s">
        <v>291</v>
      </c>
      <c r="I20" s="9" t="s">
        <v>292</v>
      </c>
      <c r="J20" s="9" t="s">
        <v>293</v>
      </c>
      <c r="K20" s="10" t="s">
        <v>294</v>
      </c>
      <c r="L20" s="10" t="s">
        <v>295</v>
      </c>
      <c r="M20" s="9" t="s">
        <v>296</v>
      </c>
      <c r="N20" s="9" t="s">
        <v>297</v>
      </c>
      <c r="O20" s="9" t="s">
        <v>298</v>
      </c>
      <c r="P20" s="11" t="s">
        <v>299</v>
      </c>
      <c r="Q20" s="12" t="s">
        <v>242</v>
      </c>
      <c r="R20" s="54">
        <v>1.0</v>
      </c>
      <c r="S20" s="55" t="s">
        <v>300</v>
      </c>
      <c r="T20" s="15" t="s">
        <v>56</v>
      </c>
      <c r="U20" s="15" t="b">
        <v>1</v>
      </c>
      <c r="V20" s="15"/>
      <c r="W20" s="4"/>
      <c r="X20" s="4"/>
      <c r="Y20" s="4"/>
      <c r="Z20" s="4"/>
    </row>
    <row r="21">
      <c r="A21" s="30" t="s">
        <v>301</v>
      </c>
      <c r="B21" s="8" t="s">
        <v>302</v>
      </c>
      <c r="C21" s="8" t="s">
        <v>171</v>
      </c>
      <c r="D21" s="8" t="s">
        <v>303</v>
      </c>
      <c r="E21" s="8" t="s">
        <v>304</v>
      </c>
      <c r="F21" s="8" t="s">
        <v>305</v>
      </c>
      <c r="G21" s="8" t="s">
        <v>306</v>
      </c>
      <c r="H21" s="9" t="s">
        <v>307</v>
      </c>
      <c r="I21" s="9" t="s">
        <v>308</v>
      </c>
      <c r="J21" s="9" t="s">
        <v>309</v>
      </c>
      <c r="K21" s="10" t="s">
        <v>310</v>
      </c>
      <c r="L21" s="10" t="s">
        <v>311</v>
      </c>
      <c r="M21" s="9" t="s">
        <v>312</v>
      </c>
      <c r="N21" s="9" t="s">
        <v>313</v>
      </c>
      <c r="O21" s="9" t="s">
        <v>314</v>
      </c>
      <c r="P21" s="11" t="s">
        <v>315</v>
      </c>
      <c r="Q21" s="12" t="s">
        <v>316</v>
      </c>
      <c r="R21" s="54">
        <v>1.0</v>
      </c>
      <c r="S21" s="14" t="s">
        <v>317</v>
      </c>
      <c r="T21" s="15" t="s">
        <v>56</v>
      </c>
      <c r="U21" s="15" t="b">
        <v>1</v>
      </c>
      <c r="V21" s="15"/>
      <c r="W21" s="4"/>
      <c r="X21" s="4"/>
      <c r="Y21" s="4"/>
      <c r="Z21" s="4"/>
    </row>
    <row r="22">
      <c r="A22" s="33" t="s">
        <v>318</v>
      </c>
      <c r="B22" s="12" t="s">
        <v>319</v>
      </c>
      <c r="C22" s="8" t="s">
        <v>171</v>
      </c>
      <c r="D22" s="8" t="s">
        <v>320</v>
      </c>
      <c r="E22" s="8" t="s">
        <v>139</v>
      </c>
      <c r="F22" s="8" t="s">
        <v>321</v>
      </c>
      <c r="G22" s="8" t="s">
        <v>322</v>
      </c>
      <c r="H22" s="9" t="s">
        <v>323</v>
      </c>
      <c r="I22" s="10" t="s">
        <v>324</v>
      </c>
      <c r="J22" s="10" t="s">
        <v>325</v>
      </c>
      <c r="K22" s="9" t="s">
        <v>326</v>
      </c>
      <c r="L22" s="9" t="s">
        <v>327</v>
      </c>
      <c r="M22" s="9" t="s">
        <v>328</v>
      </c>
      <c r="N22" s="9" t="s">
        <v>329</v>
      </c>
      <c r="O22" s="9" t="s">
        <v>330</v>
      </c>
      <c r="P22" s="11" t="s">
        <v>331</v>
      </c>
      <c r="Q22" s="12" t="s">
        <v>242</v>
      </c>
      <c r="R22" s="54">
        <v>0.9333</v>
      </c>
      <c r="S22" s="55" t="s">
        <v>332</v>
      </c>
      <c r="T22" s="15" t="s">
        <v>56</v>
      </c>
      <c r="U22" s="15" t="b">
        <v>1</v>
      </c>
      <c r="V22" s="15"/>
      <c r="W22" s="4"/>
      <c r="X22" s="4"/>
      <c r="Y22" s="4"/>
      <c r="Z22" s="4"/>
    </row>
    <row r="23" ht="15.75" customHeight="1">
      <c r="A23" s="4"/>
      <c r="B23" s="56" t="s">
        <v>333</v>
      </c>
      <c r="C23" s="57">
        <v>20.0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8"/>
      <c r="S23" s="59"/>
      <c r="T23" s="4"/>
      <c r="U23" s="4"/>
      <c r="V23" s="4"/>
      <c r="W23" s="4"/>
      <c r="X23" s="4"/>
      <c r="Y23" s="4"/>
      <c r="Z23" s="4"/>
    </row>
    <row r="24" ht="15.75" customHeight="1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60"/>
      <c r="S24" s="61"/>
      <c r="T24" s="4"/>
      <c r="U24" s="4"/>
      <c r="V24" s="4"/>
      <c r="W24" s="4"/>
      <c r="X24" s="4"/>
      <c r="Y24" s="4"/>
      <c r="Z24" s="4"/>
    </row>
    <row r="25" ht="15.75" customHeight="1">
      <c r="A25" s="62"/>
      <c r="B25" s="4"/>
      <c r="C25" s="4"/>
      <c r="D25" s="63" t="s">
        <v>334</v>
      </c>
      <c r="E25" s="2"/>
      <c r="F25" s="2"/>
      <c r="G25" s="2"/>
      <c r="H25" s="2"/>
      <c r="I25" s="3"/>
      <c r="J25" s="4"/>
      <c r="K25" s="4"/>
      <c r="L25" s="4"/>
      <c r="M25" s="4"/>
      <c r="N25" s="4"/>
      <c r="O25" s="4"/>
      <c r="P25" s="4"/>
      <c r="Q25" s="4"/>
      <c r="R25" s="60"/>
      <c r="S25" s="61"/>
      <c r="T25" s="4"/>
      <c r="U25" s="4"/>
      <c r="V25" s="4"/>
      <c r="W25" s="4"/>
      <c r="X25" s="4"/>
      <c r="Y25" s="4"/>
      <c r="Z25" s="4"/>
    </row>
    <row r="26" ht="15.75" customHeight="1">
      <c r="D26" s="37" t="s">
        <v>152</v>
      </c>
      <c r="E26" s="4"/>
      <c r="F26" s="4"/>
      <c r="G26" s="64" t="s">
        <v>24</v>
      </c>
      <c r="H26" s="65" t="s">
        <v>335</v>
      </c>
      <c r="I26" s="3"/>
      <c r="J26" s="4"/>
      <c r="K26" s="4"/>
      <c r="L26" s="4"/>
      <c r="M26" s="4"/>
      <c r="N26" s="4"/>
      <c r="O26" s="4"/>
      <c r="P26" s="4"/>
      <c r="Q26" s="4"/>
      <c r="R26" s="60"/>
      <c r="S26" s="61"/>
      <c r="T26" s="4"/>
      <c r="U26" s="4"/>
      <c r="V26" s="4"/>
      <c r="W26" s="4"/>
      <c r="X26" s="4"/>
      <c r="Y26" s="4"/>
      <c r="Z26" s="4"/>
    </row>
    <row r="27" ht="15.75" customHeight="1">
      <c r="D27" s="37" t="s">
        <v>168</v>
      </c>
      <c r="E27" s="4"/>
      <c r="F27" s="4"/>
      <c r="G27" s="64" t="s">
        <v>336</v>
      </c>
      <c r="H27" s="66" t="s">
        <v>337</v>
      </c>
      <c r="I27" s="3"/>
      <c r="J27" s="4"/>
      <c r="K27" s="4"/>
      <c r="L27" s="4"/>
      <c r="M27" s="4"/>
      <c r="N27" s="4"/>
      <c r="O27" s="4"/>
      <c r="P27" s="4"/>
      <c r="Q27" s="57"/>
      <c r="R27" s="67"/>
      <c r="S27" s="68"/>
      <c r="T27" s="4"/>
      <c r="U27" s="4"/>
      <c r="V27" s="4"/>
      <c r="W27" s="4"/>
      <c r="X27" s="4"/>
      <c r="Y27" s="4"/>
      <c r="Z27" s="4"/>
    </row>
    <row r="28" ht="15.75" customHeight="1">
      <c r="D28" s="37" t="s">
        <v>184</v>
      </c>
      <c r="E28" s="4"/>
      <c r="F28" s="4"/>
      <c r="G28" s="64" t="s">
        <v>338</v>
      </c>
      <c r="H28" s="66" t="s">
        <v>339</v>
      </c>
      <c r="I28" s="3"/>
      <c r="J28" s="4"/>
      <c r="K28" s="4"/>
      <c r="L28" s="4"/>
      <c r="M28" s="4"/>
      <c r="N28" s="4"/>
      <c r="O28" s="4"/>
      <c r="P28" s="4"/>
      <c r="Q28" s="4"/>
      <c r="R28" s="60"/>
      <c r="S28" s="61"/>
      <c r="T28" s="4"/>
      <c r="U28" s="4"/>
      <c r="V28" s="4"/>
      <c r="W28" s="4"/>
      <c r="X28" s="4"/>
      <c r="Y28" s="4"/>
      <c r="Z28" s="4"/>
    </row>
    <row r="29" ht="15.75" customHeight="1">
      <c r="D29" s="37" t="s">
        <v>199</v>
      </c>
      <c r="E29" s="4"/>
      <c r="F29" s="4"/>
      <c r="G29" s="64" t="s">
        <v>340</v>
      </c>
      <c r="H29" s="66" t="s">
        <v>341</v>
      </c>
      <c r="I29" s="3"/>
      <c r="J29" s="4"/>
      <c r="K29" s="4"/>
      <c r="L29" s="4"/>
      <c r="M29" s="4"/>
      <c r="N29" s="4"/>
      <c r="O29" s="4"/>
      <c r="P29" s="4"/>
      <c r="Q29" s="4"/>
      <c r="R29" s="60"/>
      <c r="S29" s="61"/>
      <c r="T29" s="4"/>
      <c r="U29" s="4"/>
      <c r="V29" s="4"/>
      <c r="W29" s="4"/>
      <c r="X29" s="4"/>
      <c r="Y29" s="4"/>
      <c r="Z29" s="4"/>
    </row>
    <row r="30" ht="15.75" customHeight="1">
      <c r="D30" s="37" t="s">
        <v>213</v>
      </c>
      <c r="E30" s="4"/>
      <c r="F30" s="4"/>
      <c r="G30" s="64" t="s">
        <v>155</v>
      </c>
      <c r="H30" s="66" t="s">
        <v>342</v>
      </c>
      <c r="I30" s="3"/>
      <c r="J30" s="4"/>
      <c r="K30" s="4"/>
      <c r="L30" s="4"/>
      <c r="M30" s="4"/>
      <c r="N30" s="4"/>
      <c r="O30" s="4"/>
      <c r="P30" s="4"/>
      <c r="Q30" s="4"/>
      <c r="R30" s="60"/>
      <c r="S30" s="61"/>
      <c r="T30" s="4"/>
      <c r="U30" s="4"/>
      <c r="V30" s="4"/>
      <c r="W30" s="4"/>
      <c r="X30" s="4"/>
      <c r="Y30" s="4"/>
      <c r="Z30" s="4"/>
    </row>
    <row r="31" ht="15.75" customHeight="1">
      <c r="D31" s="37" t="s">
        <v>229</v>
      </c>
      <c r="E31" s="4"/>
      <c r="F31" s="4"/>
      <c r="G31" s="64" t="s">
        <v>343</v>
      </c>
      <c r="H31" s="66" t="s">
        <v>344</v>
      </c>
      <c r="I31" s="3"/>
      <c r="J31" s="4"/>
      <c r="K31" s="4"/>
      <c r="L31" s="4"/>
      <c r="M31" s="4"/>
      <c r="N31" s="4"/>
      <c r="O31" s="4"/>
      <c r="P31" s="4"/>
      <c r="Q31" s="4"/>
      <c r="R31" s="60"/>
      <c r="S31" s="61"/>
      <c r="T31" s="4"/>
      <c r="U31" s="4"/>
      <c r="V31" s="4"/>
      <c r="W31" s="4"/>
      <c r="X31" s="4"/>
      <c r="Y31" s="4"/>
      <c r="Z31" s="4"/>
    </row>
    <row r="32" ht="15.75" customHeight="1">
      <c r="D32" s="37" t="s">
        <v>244</v>
      </c>
      <c r="E32" s="4"/>
      <c r="F32" s="4"/>
      <c r="G32" s="64" t="s">
        <v>345</v>
      </c>
      <c r="H32" s="66" t="s">
        <v>346</v>
      </c>
      <c r="I32" s="3"/>
      <c r="J32" s="4"/>
      <c r="K32" s="4"/>
      <c r="L32" s="4"/>
      <c r="M32" s="4"/>
      <c r="N32" s="4"/>
      <c r="O32" s="4"/>
      <c r="P32" s="4"/>
      <c r="Q32" s="4"/>
      <c r="R32" s="60"/>
      <c r="S32" s="61"/>
      <c r="T32" s="4"/>
      <c r="U32" s="4"/>
      <c r="V32" s="4"/>
      <c r="W32" s="4"/>
      <c r="X32" s="4"/>
      <c r="Y32" s="4"/>
      <c r="Z32" s="4"/>
    </row>
    <row r="33" ht="15.75" customHeight="1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60"/>
      <c r="S33" s="61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60"/>
      <c r="S34" s="61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60"/>
      <c r="S35" s="61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60"/>
      <c r="S36" s="61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60"/>
      <c r="S37" s="61"/>
      <c r="T37" s="4"/>
      <c r="U37" s="4"/>
      <c r="V37" s="4"/>
      <c r="W37" s="4"/>
    </row>
  </sheetData>
  <mergeCells count="9">
    <mergeCell ref="H31:I31"/>
    <mergeCell ref="H32:I32"/>
    <mergeCell ref="A1:V1"/>
    <mergeCell ref="D25:I25"/>
    <mergeCell ref="H26:I26"/>
    <mergeCell ref="H27:I27"/>
    <mergeCell ref="H28:I28"/>
    <mergeCell ref="H29:I29"/>
    <mergeCell ref="H30:I30"/>
  </mergeCells>
  <conditionalFormatting sqref="C3:C22">
    <cfRule type="expression" dxfId="0" priority="1">
      <formula>C3="Directa"</formula>
    </cfRule>
  </conditionalFormatting>
  <conditionalFormatting sqref="C3:C22">
    <cfRule type="expression" dxfId="1" priority="2">
      <formula>C3="Indirecta"</formula>
    </cfRule>
  </conditionalFormatting>
  <dataValidations>
    <dataValidation type="list" allowBlank="1" showErrorMessage="1" sqref="T3:T22">
      <formula1>"Cumplido,Parcialmente Cumplido,No cumplido,Sin datos,No aplicable / cohorte no madura"</formula1>
    </dataValidation>
  </dataValidations>
  <hyperlinks>
    <hyperlink r:id="rId4" ref="S5"/>
    <hyperlink r:id="rId5" ref="S7"/>
    <hyperlink r:id="rId6" ref="S8"/>
    <hyperlink r:id="rId7" ref="S10"/>
    <hyperlink r:id="rId8" ref="S11"/>
    <hyperlink r:id="rId9" ref="S15"/>
    <hyperlink r:id="rId10" ref="S16"/>
    <hyperlink r:id="rId11" ref="S17"/>
    <hyperlink r:id="rId12" ref="S18"/>
    <hyperlink r:id="rId13" ref="S19"/>
    <hyperlink r:id="rId14" ref="S20"/>
    <hyperlink r:id="rId15" ref="S22"/>
  </hyperlinks>
  <printOptions/>
  <pageMargins bottom="0.75" footer="0.0" header="0.0" left="0.7" right="0.7" top="0.75"/>
  <pageSetup orientation="landscape"/>
  <drawing r:id="rId16"/>
  <legacyDrawing r:id="rId17"/>
</worksheet>
</file>