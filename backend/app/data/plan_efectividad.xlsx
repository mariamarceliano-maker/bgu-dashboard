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shboard" sheetId="1" r:id="rId5"/>
    <sheet state="hidden" name="Listas" sheetId="2" r:id="rId6"/>
    <sheet state="hidden" name="Instrucciones" sheetId="3" r:id="rId7"/>
    <sheet state="hidden" name="Calendario Cortes" sheetId="4" r:id="rId8"/>
    <sheet state="visible" name="Registro Nuevo - Reporte 2025 -" sheetId="5" r:id="rId9"/>
    <sheet state="hidden" name="Registro Datos - NO VALIDO" sheetId="6" r:id="rId10"/>
    <sheet state="hidden" name="Registro Datos - Reportes semes" sheetId="7" r:id="rId11"/>
    <sheet state="hidden" name="Evaluación Cortes Semestrales" sheetId="8" r:id="rId12"/>
    <sheet state="hidden" name="Actas" sheetId="9" r:id="rId13"/>
    <sheet state="hidden" name="Indicadores Master" sheetId="10" r:id="rId14"/>
  </sheets>
  <definedNames>
    <definedName hidden="1" localSheetId="4" name="_xlnm._FilterDatabase">'Registro Nuevo - Reporte 2025 -'!$A$3:$Y$38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tc={2f3b0acd-7e05-4d5e-af61-9730745da1a7}</author>
    <author>tc={a5245574-bdd4-43ef-b92f-58fd43aa7a8c}</author>
    <author>tc={e832a0f0-b7f2-4b5d-915d-a554a5c3713e}</author>
  </authors>
  <commentList>
    <comment authorId="0" ref="S3">
      <text>
        <t xml:space="preserve">Este espacio se llenará el 
17/07/2026 </t>
      </text>
    </comment>
    <comment authorId="0" ref="F28">
      <text>
        <t xml:space="preserve">Convenios para generar beneficios a la comunidad (viaje a Polonia) (Trepcamp noticia)</t>
      </text>
    </comment>
    <comment authorId="1" xr:uid="{2f3b0acd-7e05-4d5e-af61-9730745da1a7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4.5 equivalente
</t>
      </text>
    </comment>
    <comment authorId="2" xr:uid="{a5245574-bdd4-43ef-b92f-58fd43aa7a8c}" ref="N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actualizar el cálculo
Reply:
	trabajando en ello
</t>
      </text>
    </comment>
    <comment authorId="3" xr:uid="{e832a0f0-b7f2-4b5d-915d-a554a5c3713e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2">
      <text>
        <t xml:space="preserve">viajes que propicie la universidad</t>
      </text>
    </comment>
  </commentList>
</comments>
</file>

<file path=xl/sharedStrings.xml><?xml version="1.0" encoding="utf-8"?>
<sst xmlns="http://schemas.openxmlformats.org/spreadsheetml/2006/main" count="2983" uniqueCount="963">
  <si>
    <t>Juicio evaluativo</t>
  </si>
  <si>
    <t>Dashboard de Evaluación del Plan de Efectividad Institucional 2025-2026</t>
  </si>
  <si>
    <t>Estado del dato</t>
  </si>
  <si>
    <t>Corte</t>
  </si>
  <si>
    <t>Semáforo</t>
  </si>
  <si>
    <t>Temporalidad</t>
  </si>
  <si>
    <t>Calendario de seguimiento y evaluación — BGU</t>
  </si>
  <si>
    <t>Meses</t>
  </si>
  <si>
    <t>Cumple</t>
  </si>
  <si>
    <t>Cómo usar este archivo</t>
  </si>
  <si>
    <t>Completo</t>
  </si>
  <si>
    <t>C1 - Diciembre</t>
  </si>
  <si>
    <t>🟢</t>
  </si>
  <si>
    <t>1. Revisa la hoja 'Calendario_Cortes' para seguir el ciclo académico de BGU: 01/09 al 31/08.</t>
  </si>
  <si>
    <t>Mensual</t>
  </si>
  <si>
    <t>Sep</t>
  </si>
  <si>
    <t>En riesgo</t>
  </si>
  <si>
    <t>2. Usa la hoja 'Indicadores_Master' como referencia oficial del cuadro de dimensiones, metas, fórmula y responsable.</t>
  </si>
  <si>
    <t>Parcial</t>
  </si>
  <si>
    <t>Ciclo académico</t>
  </si>
  <si>
    <t>C2 - Abril</t>
  </si>
  <si>
    <t>🟡</t>
  </si>
  <si>
    <t>3. Registra datos recibidos de las divisiones en 'Registro_Datos'. Puedes cargar cada dato mensual, semestral o anual conforme llegue.</t>
  </si>
  <si>
    <t>01 de septiembre al 31 de agosto</t>
  </si>
  <si>
    <t>Semestral</t>
  </si>
  <si>
    <t>Oct</t>
  </si>
  <si>
    <t>4. En la hoja 'Evaluación_3_Cortes' realiza el análisis formal del plan tres veces al año: C1-Diciembre, C2-Abril y C3-Agosto.</t>
  </si>
  <si>
    <t>No cumple</t>
  </si>
  <si>
    <t>En levantamiento</t>
  </si>
  <si>
    <t>C3 - Agosto</t>
  </si>
  <si>
    <t>5. Para cada corte, consigna: valor reportado, estado del dato, juicio evaluativo, análisis, decisión/acción, responsable y fecha compromiso.</t>
  </si>
  <si>
    <t>🔴</t>
  </si>
  <si>
    <t>Seguimiento</t>
  </si>
  <si>
    <t>Anual</t>
  </si>
  <si>
    <t>Nov</t>
  </si>
  <si>
    <t>6. El dashboard resume automáticamente el avance del corte seleccionado y te ayuda a presentar resultados con semáforo institucional.</t>
  </si>
  <si>
    <t>Pendiente</t>
  </si>
  <si>
    <t>No recibido</t>
  </si>
  <si>
    <t>7. Indicadores anuales: en C1 y C2 puedes marcar 'Pendiente' o 'En levantamiento'; la evaluación final se consolida en C3-Ago.</t>
  </si>
  <si>
    <t>Criterio sugerido de evaluación</t>
  </si>
  <si>
    <t>⚪</t>
  </si>
  <si>
    <t>Dic</t>
  </si>
  <si>
    <t>Ene</t>
  </si>
  <si>
    <t>Qué registrar</t>
  </si>
  <si>
    <t>Feb</t>
  </si>
  <si>
    <t>Qué analizar en los cortes</t>
  </si>
  <si>
    <t>Mar</t>
  </si>
  <si>
    <t>Abr</t>
  </si>
  <si>
    <t>May</t>
  </si>
  <si>
    <t>Jun</t>
  </si>
  <si>
    <t>Dato de cada mes</t>
  </si>
  <si>
    <t>Jul</t>
  </si>
  <si>
    <t>Analiza tendencia acumulada en C1, C2 y C3</t>
  </si>
  <si>
    <t>Ago</t>
  </si>
  <si>
    <t>Dato al cierre de cada semestre</t>
  </si>
  <si>
    <t>En C1 usa avance preliminar si aplica; en C2 y C3 incorpora cierres semestrales</t>
  </si>
  <si>
    <t>Dato una vez por año</t>
  </si>
  <si>
    <t>En C1/C2 deja evidencia del levantamiento; en C3 emite juicio final</t>
  </si>
  <si>
    <t>Recepción de datos mensuales</t>
  </si>
  <si>
    <t>●</t>
  </si>
  <si>
    <t>Recepción de datos semestrales</t>
  </si>
  <si>
    <t>avance</t>
  </si>
  <si>
    <t>cierre S1</t>
  </si>
  <si>
    <t>cierre S2</t>
  </si>
  <si>
    <t>Levantamiento de anuales</t>
  </si>
  <si>
    <t>inicio</t>
  </si>
  <si>
    <t>cierre</t>
  </si>
  <si>
    <t>Dashboard de seguimiento y evaluación del Plan de Efectividad</t>
  </si>
  <si>
    <t>C1 - Evaluación institucional</t>
  </si>
  <si>
    <t>X</t>
  </si>
  <si>
    <t>BGU · Ciclo académico 01/09/2025 – 31/08/2026</t>
  </si>
  <si>
    <t>Seleccione el corte para lectura del dashboard</t>
  </si>
  <si>
    <t>Total indicadores</t>
  </si>
  <si>
    <t>Mensuales</t>
  </si>
  <si>
    <t>C2 - Evaluación institucional</t>
  </si>
  <si>
    <t>Semestrales</t>
  </si>
  <si>
    <t>Anuales</t>
  </si>
  <si>
    <t>C3 - Evaluación institucional</t>
  </si>
  <si>
    <t>Lectura recomendada por corte</t>
  </si>
  <si>
    <t>Ventana de análisis recomendada</t>
  </si>
  <si>
    <t>Qué debe quedar documentado</t>
  </si>
  <si>
    <t>Sep–Dic</t>
  </si>
  <si>
    <t>avance inicial, desvíos tempranos, acciones de corrección</t>
  </si>
  <si>
    <t>Resumen del corte seleccionado</t>
  </si>
  <si>
    <t>Cumplimiento por dimensión (según corte seleccionado)</t>
  </si>
  <si>
    <t>Distribución del juicio evaluativo</t>
  </si>
  <si>
    <t>Sep–Abr</t>
  </si>
  <si>
    <t>Indicador</t>
  </si>
  <si>
    <t>tendencia acumulada, primer cierre fuerte, seguimiento de acciones</t>
  </si>
  <si>
    <t>Valor</t>
  </si>
  <si>
    <t>Dimensión</t>
  </si>
  <si>
    <t>Sep–Ago</t>
  </si>
  <si>
    <t>cierre anual, cumplimiento final y lecciones para el siguiente ciclo</t>
  </si>
  <si>
    <t>Indicadores con juicio "Cumple"</t>
  </si>
  <si>
    <t>PLAN DE EFECTIVIDAD 2025 - 2026
EVALUACIÓN DE RESULTADOS
01 de septiembre del 2025 - 31 de agosto del 2026</t>
  </si>
  <si>
    <t>1. Portafolio Académico</t>
  </si>
  <si>
    <t>PLAN DE EFECTIVIDAD VIGENTE 2025 - 2026</t>
  </si>
  <si>
    <t>Estrategia</t>
  </si>
  <si>
    <t>Plan de Efectividad Institucional de BGU Año Académico 2025-2026 (30.12.25)</t>
  </si>
  <si>
    <t>Objetivo Institucional</t>
  </si>
  <si>
    <t>N°</t>
  </si>
  <si>
    <t>Código</t>
  </si>
  <si>
    <t>Nivel</t>
  </si>
  <si>
    <t>KPI y alcance</t>
  </si>
  <si>
    <t>Fórmula</t>
  </si>
  <si>
    <t>Meta</t>
  </si>
  <si>
    <t>Tipo de medida</t>
  </si>
  <si>
    <t>Fuente</t>
  </si>
  <si>
    <t>Reponsable</t>
  </si>
  <si>
    <t>Responsable ERP</t>
  </si>
  <si>
    <t>Frecuencia</t>
  </si>
  <si>
    <t>Resultados</t>
  </si>
  <si>
    <t>Evidencia</t>
  </si>
  <si>
    <t>Brecha</t>
  </si>
  <si>
    <t>Estado</t>
  </si>
  <si>
    <t>Decision</t>
  </si>
  <si>
    <t>E1. Portafolio Académico</t>
  </si>
  <si>
    <t>Establecer una comunidad de aprendizaje diversa y global mediante una oferta autorizada, activa, pertinente y sostenible.</t>
  </si>
  <si>
    <t>Meta esperada</t>
  </si>
  <si>
    <t>División BGU</t>
  </si>
  <si>
    <t>RESULTADOS ALCANZADOS</t>
  </si>
  <si>
    <t>E1-I01</t>
  </si>
  <si>
    <t xml:space="preserve">FUENTES DE VERIFICACIÓN </t>
  </si>
  <si>
    <t>Intitucional</t>
  </si>
  <si>
    <t>COMENTARIOS RELEVANTES</t>
  </si>
  <si>
    <t>ACCIONES DE MEJORA IDENTIFICADAS</t>
  </si>
  <si>
    <r>
      <rPr>
        <rFont val="Calibri"/>
        <b/>
        <color theme="1"/>
      </rPr>
      <t>Oferta efectiva de programas:</t>
    </r>
    <r>
      <rPr>
        <rFont val="Calibri"/>
        <color theme="1"/>
      </rPr>
      <t xml:space="preserve"> Proporcion de programas autorizados que se encuentran activos, admiten estudiantes y cuentan con capacidad academica y operativa</t>
    </r>
  </si>
  <si>
    <t xml:space="preserve">Programas activos / 
programas autorizados x 
100
</t>
  </si>
  <si>
    <t xml:space="preserve">&gt;=59%
</t>
  </si>
  <si>
    <t>Portafolio académico</t>
  </si>
  <si>
    <t xml:space="preserve">Cuantitativa directa
</t>
  </si>
  <si>
    <t>Pertinencia Curricular Internacional</t>
  </si>
  <si>
    <t xml:space="preserve">Plan académico anual; 
catalogo; registro de 
programas
</t>
  </si>
  <si>
    <t>≥4/5</t>
  </si>
  <si>
    <t>Division of Academic Affairs / Division of 
Admissions and Marketing</t>
  </si>
  <si>
    <t>Indicadores "En riesgo"</t>
  </si>
  <si>
    <t xml:space="preserve">Ronald </t>
  </si>
  <si>
    <t>Division of Academic Affairs</t>
  </si>
  <si>
    <t>2. Claustro Académico</t>
  </si>
  <si>
    <t>Catálogo BGU
12499Approved Data (1).pdf</t>
  </si>
  <si>
    <t>Diversificación Lingüística</t>
  </si>
  <si>
    <t>≥30%</t>
  </si>
  <si>
    <t>Cumplido</t>
  </si>
  <si>
    <t>Innovación Curricular Percibida</t>
  </si>
  <si>
    <t>E1-I02</t>
  </si>
  <si>
    <r>
      <rPr>
        <rFont val="Calibri"/>
        <b/>
        <color theme="1"/>
      </rPr>
      <t>Retention Rate estudiantil:</t>
    </r>
    <r>
      <rPr>
        <rFont val="Calibri"/>
        <color theme="1"/>
      </rPr>
      <t xml:space="preserve"> Persistencia de  estudiantes elegibles de un periodo al siguiente;  debe calcularse por cohorte, nivel y programa.</t>
    </r>
  </si>
  <si>
    <t xml:space="preserve">Dashboard CIE </t>
  </si>
  <si>
    <t>Flexibilidad Académica</t>
  </si>
  <si>
    <t xml:space="preserve">&gt;=85%
</t>
  </si>
  <si>
    <t>≥80% satisfechos</t>
  </si>
  <si>
    <t xml:space="preserve">Cuantitativa directa
</t>
  </si>
  <si>
    <t>SIS/SMS; registros del 
Registrar</t>
  </si>
  <si>
    <t>Registrar / Division of 
Student Services</t>
  </si>
  <si>
    <t xml:space="preserve">Marisol </t>
  </si>
  <si>
    <t xml:space="preserve"> Ratios 801 Data Collection (18.11.25) .xlsx</t>
  </si>
  <si>
    <t>Reputación Académica Externa</t>
  </si>
  <si>
    <t>Nº Programas Autorizados (CIE)</t>
  </si>
  <si>
    <t>≥11</t>
  </si>
  <si>
    <t>Indicadores "No cumple"</t>
  </si>
  <si>
    <t>Graduation Rate General</t>
  </si>
  <si>
    <t>≥70%</t>
  </si>
  <si>
    <t>Criterio general</t>
  </si>
  <si>
    <t>Division of Student Services</t>
  </si>
  <si>
    <t>Tratamiento</t>
  </si>
  <si>
    <t>3. Capital Humano (Administrativo)</t>
  </si>
  <si>
    <t>RATIOS 01/07/2025 to 30/06/2026</t>
  </si>
  <si>
    <t>E1-I03</t>
  </si>
  <si>
    <r>
      <rPr>
        <rFont val="Calibri"/>
        <b/>
        <color theme="1"/>
      </rPr>
      <t>Graduation Rate:</t>
    </r>
    <r>
      <rPr>
        <rFont val="Calibri"/>
        <color theme="1"/>
      </rPr>
      <t xml:space="preserve"> Graduacion dentro de la  ventana institucional de  reporte, desagregada por  nivel y cohorte madura.</t>
    </r>
  </si>
  <si>
    <t xml:space="preserve">Graduados de la cohorte / 
estudiantes de la cohorte 
ajustada x 100
</t>
  </si>
  <si>
    <t xml:space="preserve">&gt;=70%
</t>
  </si>
  <si>
    <t>Registros academicos; 
expedientes de 
graduación</t>
  </si>
  <si>
    <t>Copia de RATIOS DEAC - 24-03-26            Ratios 801 Data Collection (18.11.25) .xlsx</t>
  </si>
  <si>
    <t>Retention Rate Estudiantil</t>
  </si>
  <si>
    <t>≥85%</t>
  </si>
  <si>
    <t>Diversidad Geográfica</t>
  </si>
  <si>
    <t>≥20 países</t>
  </si>
  <si>
    <t>Division of Admissions/Marketing</t>
  </si>
  <si>
    <t>Parcialmente Cumplido</t>
  </si>
  <si>
    <r>
      <rPr>
        <rFont val="Arial Narrow"/>
        <sz val="11.0"/>
      </rPr>
      <t xml:space="preserve">Reporte consolidado de admisión: </t>
    </r>
    <r>
      <rPr>
        <rFont val="Arial Narrow"/>
        <color rgb="FF1155CC"/>
        <sz val="11.0"/>
        <u/>
      </rPr>
      <t>https://docs.google.com/spreadsheets/d/1D3xU22BJJ-9-PmpUytOa9QaXz1SqTwSGFxc5l8YFYfw/edit?gid=1233620087#gid=1233620087</t>
    </r>
  </si>
  <si>
    <t>Meta alcanzada o superada, considerando la
dirección del KPI.</t>
  </si>
  <si>
    <t>Mantener, elevar meta o cerrar mejora.</t>
  </si>
  <si>
    <t>Registro de admisión</t>
  </si>
  <si>
    <t>Indicadores "Pendiente"</t>
  </si>
  <si>
    <t>Oferta Efectiva de Programas</t>
  </si>
  <si>
    <t>≥59%</t>
  </si>
  <si>
    <t>https://proxy.blackwell.university/?url=https://web02.fldoe.org/CIE/SearchSchools/SchoolSearchDetail.aspx?schoolID=12499</t>
  </si>
  <si>
    <t>4. Plataformas Tecnológicas</t>
  </si>
  <si>
    <t>E1-S01</t>
  </si>
  <si>
    <t>Estratégico</t>
  </si>
  <si>
    <r>
      <rPr>
        <rFont val="Calibri"/>
        <b/>
        <color theme="1"/>
      </rPr>
      <t xml:space="preserve">Pertinencia curricular internacional: </t>
    </r>
    <r>
      <rPr>
        <rFont val="Calibri"/>
        <color theme="1"/>
      </rPr>
      <t>Alineacion de los programas con demanda,  regulacion, recomendaciones de  advisory councils y resultados de aprendizaje</t>
    </r>
  </si>
  <si>
    <t xml:space="preserve">Promedio de rubrica 
institucional de pertinencia 
(1-5)
</t>
  </si>
  <si>
    <t xml:space="preserve">&gt;=4/5
</t>
  </si>
  <si>
    <t>Fecha de recepción</t>
  </si>
  <si>
    <t>Mixta directa e indirecta</t>
  </si>
  <si>
    <t xml:space="preserve">Informes de revisión 
curricular; actas de 
advisory councils
</t>
  </si>
  <si>
    <t>Año académico</t>
  </si>
  <si>
    <t>Información de la Commission For Independent Education</t>
  </si>
  <si>
    <t>Mes / periodo</t>
  </si>
  <si>
    <t>4.61</t>
  </si>
  <si>
    <t>Todos los programas activos.</t>
  </si>
  <si>
    <t>INFORME DE REVISIÓN CURRICULAR DEL PROGRAMA DE.docx</t>
  </si>
  <si>
    <t>Corte asociado</t>
  </si>
  <si>
    <t>Claustro Académico</t>
  </si>
  <si>
    <t>Actualización Pedagógica</t>
  </si>
  <si>
    <t>División de Educación Continua</t>
  </si>
  <si>
    <t>Valor reportado</t>
  </si>
  <si>
    <t>Unidad / escala</t>
  </si>
  <si>
    <t>Fuente / evidencia</t>
  </si>
  <si>
    <t>Diversidad Internacional</t>
  </si>
  <si>
    <t>Link / ubicación</t>
  </si>
  <si>
    <t>≥10 países</t>
  </si>
  <si>
    <t>Parcialmente cumplido</t>
  </si>
  <si>
    <t>Observaciones</t>
  </si>
  <si>
    <t>Septiembre / Octubre 2025</t>
  </si>
  <si>
    <t>Resultado mayor a 0</t>
  </si>
  <si>
    <t>Analizar causa y fortalecer acciones.</t>
  </si>
  <si>
    <t>2025 - 2026</t>
  </si>
  <si>
    <t>Fall</t>
  </si>
  <si>
    <t>Innovación Didáctica</t>
  </si>
  <si>
    <t xml:space="preserve">Septiembre - Diciembre </t>
  </si>
  <si>
    <t>E1-S02</t>
  </si>
  <si>
    <r>
      <rPr>
        <rFont val="Calibri"/>
        <b/>
        <color theme="1"/>
      </rPr>
      <t>Diversidad geografica del  alumnado:</t>
    </r>
    <r>
      <rPr>
        <rFont val="Calibri"/>
        <color theme="1"/>
      </rPr>
      <t xml:space="preserve"> Cobertura internacional real de la matricula activa</t>
    </r>
  </si>
  <si>
    <t>Disponibilidad de Sistemas Críticos (Uptime)</t>
  </si>
  <si>
    <t xml:space="preserve">Conteo distinto de países 
de residencia de 
estudiantes activos
</t>
  </si>
  <si>
    <t xml:space="preserve">&gt;=20 países
</t>
  </si>
  <si>
    <t>Plataformas Tecnológicas</t>
  </si>
  <si>
    <t>Registro de admision; 
SIS/SMS</t>
  </si>
  <si>
    <t xml:space="preserve">Division of Admissions and Marketing / Registrar
</t>
  </si>
  <si>
    <t>Reconocimiento Externo del Claustro</t>
  </si>
  <si>
    <t>Datos completos</t>
  </si>
  <si>
    <t>Antony Huaynapata</t>
  </si>
  <si>
    <t>Paises/Registros</t>
  </si>
  <si>
    <t>Division of Administration Services and Finance</t>
  </si>
  <si>
    <t>LMS 99,99% / SIS 99.95%</t>
  </si>
  <si>
    <t>% Profesores Top en Actividad</t>
  </si>
  <si>
    <t>%</t>
  </si>
  <si>
    <t>≥10%</t>
  </si>
  <si>
    <t>Reporte de indicador mensual</t>
  </si>
  <si>
    <t>correo</t>
  </si>
  <si>
    <t>5. Posicionamiento Global</t>
  </si>
  <si>
    <t>CUMPLE</t>
  </si>
  <si>
    <t>Permanencia Docente</t>
  </si>
  <si>
    <t>No cumplido</t>
  </si>
  <si>
    <t>Resultado igual a 0</t>
  </si>
  <si>
    <t>Accion de mejora obligatoria cuando
proceda.</t>
  </si>
  <si>
    <t>Producción Científica</t>
  </si>
  <si>
    <t>≥2</t>
  </si>
  <si>
    <t>LMS 99,99% / SIS 99.94%</t>
  </si>
  <si>
    <t>Satisfacción Académica</t>
  </si>
  <si>
    <t>E1-O01</t>
  </si>
  <si>
    <t>Operativo</t>
  </si>
  <si>
    <r>
      <rPr>
        <rFont val="Calibri"/>
        <b/>
        <color theme="1"/>
      </rPr>
      <t xml:space="preserve">Programas autorizados por CIE: </t>
    </r>
    <r>
      <rPr>
        <rFont val="Calibri"/>
        <color theme="1"/>
      </rPr>
      <t>Cumplimiento regulatorio del portafolio autorizado.</t>
    </r>
  </si>
  <si>
    <t xml:space="preserve">Conteo oficial a la fecha 
de corte
</t>
  </si>
  <si>
    <t>ERP BGU</t>
  </si>
  <si>
    <t xml:space="preserve">&gt;=11
</t>
  </si>
  <si>
    <t>Encuesta en aplicación</t>
  </si>
  <si>
    <t>Registro público CIE; 
resoluciones y 
expedientes</t>
  </si>
  <si>
    <t xml:space="preserve">2025 - 2026 </t>
  </si>
  <si>
    <t>Graduation Rate Posgrado</t>
  </si>
  <si>
    <t>12499Approved Data (1).pdf</t>
  </si>
  <si>
    <t>Capital Humano (Administrativo)</t>
  </si>
  <si>
    <t>Satisfacción con Central de Atención</t>
  </si>
  <si>
    <t>LMS 99,99% / SIS 99.97%</t>
  </si>
  <si>
    <t>Sin datos</t>
  </si>
  <si>
    <t>La fuente no produjo informacion valida.</t>
  </si>
  <si>
    <t>Plan de obtencion y responsable; no registrar
cero.</t>
  </si>
  <si>
    <t>Innovación Administrativa</t>
  </si>
  <si>
    <t>≥6</t>
  </si>
  <si>
    <t>6. Cultura Universitaria</t>
  </si>
  <si>
    <r>
      <rPr>
        <rFont val="Arial Narrow"/>
        <sz val="11.0"/>
      </rPr>
      <t xml:space="preserve">Reporte-15: </t>
    </r>
    <r>
      <rPr>
        <rFont val="Arial Narrow"/>
        <color rgb="FF1155CC"/>
        <sz val="11.0"/>
        <u/>
      </rPr>
      <t>https://docs.google.com/spreadsheets/d/1bLeOhiiIGSdhKg4g2lTu5em_xjEiKNEbRTOZYACUr88/edit?gid=359438294#gid=359438294</t>
    </r>
  </si>
  <si>
    <t>Spring</t>
  </si>
  <si>
    <t>Enero - Abril</t>
  </si>
  <si>
    <t>E2. Claustro Académico</t>
  </si>
  <si>
    <t>Mantener un claustro académico de calidad, suficiente, internacional, evaluado y en desarrollo continuo.</t>
  </si>
  <si>
    <t>Reporte ACP SGC Bitrix</t>
  </si>
  <si>
    <t>LMS 99,98% / SIS 99.95%</t>
  </si>
  <si>
    <t xml:space="preserve">E2-I01
</t>
  </si>
  <si>
    <t>Institucional</t>
  </si>
  <si>
    <r>
      <rPr>
        <rFont val="Calibri"/>
        <b/>
        <color theme="1"/>
      </rPr>
      <t>Evaluacion docente por estudiantes:</t>
    </r>
    <r>
      <rPr>
        <rFont val="Calibri"/>
        <color theme="1"/>
      </rPr>
      <t xml:space="preserve"> Valoracion consolidada  del desempeno docente en los cursos impartidos.</t>
    </r>
  </si>
  <si>
    <t xml:space="preserve">Suma de puntuaciones 
validas / número de 
respuestas validas
</t>
  </si>
  <si>
    <t>Accesibilidad de Servicios</t>
  </si>
  <si>
    <t xml:space="preserve">Cuantitativa indirecta
</t>
  </si>
  <si>
    <t>Encuestas finales de 
curso</t>
  </si>
  <si>
    <t>Sí se tiene la herramienta, sin embargo, aún no se tienen resultados</t>
  </si>
  <si>
    <t xml:space="preserve">Division of Academic Affairs / Division of Student Services
</t>
  </si>
  <si>
    <t>Encuesta anual de satisfacción estudiantil / Informe Servicio al Estudiante</t>
  </si>
  <si>
    <r>
      <rPr>
        <rFont val="Arial Narrow"/>
        <color rgb="FF000000"/>
        <sz val="11.0"/>
      </rPr>
      <t xml:space="preserve">Pregunta 16: </t>
    </r>
    <r>
      <rPr>
        <rFont val="Arial Narrow"/>
        <color rgb="FF1155CC"/>
        <sz val="11.0"/>
        <u/>
      </rPr>
      <t>https://docs.google.com/document/d/1eYH7OC0sK7pUDE-0Dis7DxZhq9HZ1MJAJrtAWZuIggM/edit?tab=t.0</t>
    </r>
  </si>
  <si>
    <t>Cada termino</t>
  </si>
  <si>
    <t xml:space="preserve">
4.54</t>
  </si>
  <si>
    <t>Indicadores de Programas de Estudio BGU 2025–2026.pdf</t>
  </si>
  <si>
    <t>LMS 99,98% / SIS 99.96%</t>
  </si>
  <si>
    <t>Clima Laboral Administrativo</t>
  </si>
  <si>
    <r>
      <rPr>
        <rFont val="Arial Narrow"/>
        <sz val="11.0"/>
      </rPr>
      <t xml:space="preserve">96,69%
Informe: </t>
    </r>
    <r>
      <rPr>
        <rFont val="Arial Narrow"/>
        <color rgb="FF1155CC"/>
        <sz val="11.0"/>
        <u/>
      </rPr>
      <t xml:space="preserve">https://drive.google.com/file/d/15N5BwJ16rYWiTDyLzCRv9q-1AkMQxCM5/view?usp=drive_link
</t>
    </r>
    <r>
      <rPr>
        <rFont val="Arial Narrow"/>
        <sz val="11.0"/>
      </rPr>
      <t xml:space="preserve">Encuesta: </t>
    </r>
    <r>
      <rPr>
        <rFont val="Arial Narrow"/>
        <color rgb="FF1155CC"/>
        <sz val="11.0"/>
        <u/>
      </rPr>
      <t>https://drive.google.com/file/d/1id6MP22lDL-oL7ut2DuyCblQVOa6L3c4/view?usp=drive_link</t>
    </r>
  </si>
  <si>
    <t>No aplicable / cohorte no madura</t>
  </si>
  <si>
    <t>El indicador no puede medirse legitimamente
en el periodo.</t>
  </si>
  <si>
    <t>7. Apoyo Económico</t>
  </si>
  <si>
    <t>Justificar y programar la primera medición
valida.</t>
  </si>
  <si>
    <t>LMS 100% / SIS 100%</t>
  </si>
  <si>
    <t>Informe de Encuesta anual al staff</t>
  </si>
  <si>
    <t xml:space="preserve">E2-S01
</t>
  </si>
  <si>
    <r>
      <rPr>
        <rFont val="Calibri"/>
        <b/>
        <color theme="1"/>
      </rPr>
      <t>Actualizacion pedagogica:</t>
    </r>
    <r>
      <rPr>
        <rFont val="Calibri"/>
        <color theme="1"/>
      </rPr>
      <t xml:space="preserve"> Participacion del faculty activo en el plan anual de desarrollo docente.</t>
    </r>
  </si>
  <si>
    <t xml:space="preserve">Faculty que completa el 
plan / faculty activo x 100
</t>
  </si>
  <si>
    <t xml:space="preserve">&gt;=70%
</t>
  </si>
  <si>
    <t>Imagen Institucional Administrativa</t>
  </si>
  <si>
    <t>-</t>
  </si>
  <si>
    <t>Registros de capacitación</t>
  </si>
  <si>
    <t>Division of Continuing Education / Division of Academic Affairs</t>
  </si>
  <si>
    <t>Registros de capacitación
PLAN ANUAL DE DESARROLLO DOCENTE 2025 - 2026
INFORME DE CUMPLIMIENTO DEL PLAN ANUAL DE DESARROLLO DOCENTE 2025 - 2026</t>
  </si>
  <si>
    <r>
      <rPr>
        <rFont val="Arial Narrow"/>
        <color rgb="FF000000"/>
        <sz val="11.0"/>
      </rPr>
      <t xml:space="preserve">Pregunta 11, 13 y 16: </t>
    </r>
    <r>
      <rPr>
        <rFont val="Arial Narrow"/>
        <color rgb="FF1155CC"/>
        <sz val="11.0"/>
        <u/>
      </rPr>
      <t>https://docs.google.com/document/d/1eYH7OC0sK7pUDE-0Dis7DxZhq9HZ1MJAJrtAWZuIggM/edit?tab=t.0</t>
    </r>
  </si>
  <si>
    <t>Capacitación Administrativa</t>
  </si>
  <si>
    <t>≥80%</t>
  </si>
  <si>
    <r>
      <rPr>
        <rFont val="Arial Narrow"/>
        <sz val="11.0"/>
      </rPr>
      <t xml:space="preserve">Informe con corte a Junio 2026 - 90%: </t>
    </r>
    <r>
      <rPr>
        <rFont val="Arial Narrow"/>
        <color rgb="FF1155CC"/>
        <sz val="11.0"/>
        <u/>
      </rPr>
      <t>https://docs.google.com/document/d/1ZNoM3Axx9AGv8Mab3N0cNxaGwCUcmTT-tSdI1w5UzS0/edit?tab=t.0</t>
    </r>
  </si>
  <si>
    <t>E2-S02</t>
  </si>
  <si>
    <r>
      <rPr>
        <rFont val="Calibri"/>
        <b/>
        <color theme="1"/>
      </rPr>
      <t xml:space="preserve">Permanencia docente: </t>
    </r>
    <r>
      <rPr>
        <rFont val="Calibri"/>
        <color theme="1"/>
      </rPr>
      <t>Continuidad del faculty  elegible de un periodo academico al siguiente.</t>
    </r>
  </si>
  <si>
    <t>Informe anual de la ejecución del Plan de Capacitación RRHH</t>
  </si>
  <si>
    <t>Faculty que continua / 
faculty elegible inicial x 
100</t>
  </si>
  <si>
    <t xml:space="preserve">&gt;=85%
</t>
  </si>
  <si>
    <t>Inventario de indicadores por temporalidad</t>
  </si>
  <si>
    <t>Roster docente; contratos; 
nómina</t>
  </si>
  <si>
    <t xml:space="preserve">Division of Academic Affairs / Administration Services and Finance
</t>
  </si>
  <si>
    <t>Resolución en Primer Contacto</t>
  </si>
  <si>
    <r>
      <rPr>
        <rFont val="Arial Narrow"/>
        <sz val="11.0"/>
      </rPr>
      <t xml:space="preserve">Reporte Zoho Desk - 75%: </t>
    </r>
    <r>
      <rPr>
        <rFont val="Arial Narrow"/>
        <color rgb="FF1155CC"/>
        <sz val="11.0"/>
        <u/>
      </rPr>
      <t>https://drive.google.com/file/d/1IcrzjQ2kybNCy7FDUZrIirYl6sUf1ehy/view?usp=drive_link</t>
    </r>
  </si>
  <si>
    <t>Costo de Tecnología por Estudiante</t>
  </si>
  <si>
    <t>Posicionamiento Global</t>
  </si>
  <si>
    <t>Permanencia docente:
2025-2026 45 docentes  y del 2026- 2027 tenemos 68 de ellos 42 de los 45 continuan</t>
  </si>
  <si>
    <t>4.95 $</t>
  </si>
  <si>
    <t>Reporte Zoho Desk</t>
  </si>
  <si>
    <t>$</t>
  </si>
  <si>
    <t>Reporte de tecnología por estudiante</t>
  </si>
  <si>
    <t>Tiempo Medio de Respuesta</t>
  </si>
  <si>
    <t>≤6h</t>
  </si>
  <si>
    <r>
      <rPr>
        <rFont val="Arial Narrow"/>
        <sz val="11.0"/>
      </rPr>
      <t xml:space="preserve">Reporte Zoho Desk - 2h 39m: </t>
    </r>
    <r>
      <rPr>
        <rFont val="Arial Narrow"/>
        <color rgb="FF1155CC"/>
        <sz val="11.0"/>
        <u/>
      </rPr>
      <t>https://drive.google.com/file/d/1bWqmY7uuv-dGqXW2yYjRyVcRxm2UHCgF/view?usp=drive_link</t>
    </r>
  </si>
  <si>
    <t>Portafolio Académico</t>
  </si>
  <si>
    <t>9.80 USD</t>
  </si>
  <si>
    <t>Retention Rate Administrativo</t>
  </si>
  <si>
    <t xml:space="preserve">E2-O01
</t>
  </si>
  <si>
    <r>
      <rPr>
        <rFont val="Calibri"/>
        <b/>
        <color theme="1"/>
      </rPr>
      <t>Diversidad internacional  del claustro:</t>
    </r>
    <r>
      <rPr>
        <rFont val="Calibri"/>
        <color theme="1"/>
      </rPr>
      <t xml:space="preserve"> Representacion de nacionalidades y  experiencias academicas internacionales en el faculty activo.</t>
    </r>
  </si>
  <si>
    <r>
      <rPr>
        <rFont val="Arial Narrow"/>
        <sz val="11.0"/>
      </rPr>
      <t xml:space="preserve">90,38% Personal Administrativo: </t>
    </r>
    <r>
      <rPr>
        <rFont val="Arial Narrow"/>
        <color rgb="FF1155CC"/>
        <sz val="11.0"/>
        <u/>
      </rPr>
      <t>https://drive.google.com/file/d/1xbTlC_Ca29hOTgVhrDN56taBAZnvhheA/view?usp=drive_link</t>
    </r>
  </si>
  <si>
    <t xml:space="preserve">Conteo distinto de 
nacionalidades 
representadas
</t>
  </si>
  <si>
    <t xml:space="preserve">&gt;=10 países
</t>
  </si>
  <si>
    <t xml:space="preserve">Roster y expedientes de 
faculty
</t>
  </si>
  <si>
    <t>11 paises</t>
  </si>
  <si>
    <t>Diversidad internacional  del claustro</t>
  </si>
  <si>
    <t>Nómina</t>
  </si>
  <si>
    <t>Placement Rate</t>
  </si>
  <si>
    <t>Student Services Division</t>
  </si>
  <si>
    <t>Satisfacción con Servicios Administrativos</t>
  </si>
  <si>
    <t>Indicadores de desempeño</t>
  </si>
  <si>
    <t>NO CUMPLE LA META &gt;85%</t>
  </si>
  <si>
    <r>
      <rPr>
        <rFont val="Arial Narrow"/>
        <color rgb="FF000000"/>
        <sz val="11.0"/>
      </rPr>
      <t xml:space="preserve">Pregunta 15: </t>
    </r>
    <r>
      <rPr>
        <rFont val="Arial Narrow"/>
        <color rgb="FF1155CC"/>
        <sz val="11.0"/>
        <u/>
      </rPr>
      <t>https://docs.google.com/document/d/1eYH7OC0sK7pUDE-0Dis7DxZhq9HZ1MJAJrtAWZuIggM/edit?tab=t.0</t>
    </r>
  </si>
  <si>
    <t>Satisfacción General con Plataformas (LMS/SIS)</t>
  </si>
  <si>
    <t>Division of Student Services / Division of Academic Affairs</t>
  </si>
  <si>
    <t>E2-O02</t>
  </si>
  <si>
    <r>
      <rPr>
        <rFont val="Calibri"/>
        <b/>
        <color theme="1"/>
      </rPr>
      <t xml:space="preserve">Profesores Top en  actividad: </t>
    </r>
    <r>
      <rPr>
        <rFont val="Calibri"/>
        <color theme="1"/>
      </rPr>
      <t>Proporcion de faculty que cumple la definicion institucional vigente y presta servicio academico efectivo en el periodo.</t>
    </r>
  </si>
  <si>
    <t>Seguridad Percibida</t>
  </si>
  <si>
    <t xml:space="preserve">Faculty Top activo / 
faculty activo x 100
</t>
  </si>
  <si>
    <t>≥90%</t>
  </si>
  <si>
    <t xml:space="preserve">&gt;=10%
</t>
  </si>
  <si>
    <t>PENDIENTE</t>
  </si>
  <si>
    <t>--</t>
  </si>
  <si>
    <t xml:space="preserve">Expedientes y 
asignaciones docentes
</t>
  </si>
  <si>
    <t>No se aplicó encuesta</t>
  </si>
  <si>
    <t>Innovación Tecnológica Percibida</t>
  </si>
  <si>
    <t>información obtenida en MAYO 2026</t>
  </si>
  <si>
    <t>Optimización de Procesos</t>
  </si>
  <si>
    <t>≥5 nuevos/año</t>
  </si>
  <si>
    <t>Profesores Top en  actividad
28 de 68 docentes</t>
  </si>
  <si>
    <t>Evaluación Docente por Estudiantes</t>
  </si>
  <si>
    <t>Informe TI</t>
  </si>
  <si>
    <t>Adopción y Capacitación en Plataformas</t>
  </si>
  <si>
    <t>Division of Academic Affairs / Division of Continuing Education</t>
  </si>
  <si>
    <t>INDICADORES DE DESEMPEÑO IEP</t>
  </si>
  <si>
    <t>Capital Humano Administrativo</t>
  </si>
  <si>
    <t>E3. Capital humano administrativo</t>
  </si>
  <si>
    <t>Relevancia de Alianzas</t>
  </si>
  <si>
    <t>Contar con personal administrativo competente, estable y orientado a la eficiencia y al servicio.</t>
  </si>
  <si>
    <t>Pregrado y Posgrado</t>
  </si>
  <si>
    <t>E3-I01</t>
  </si>
  <si>
    <r>
      <rPr>
        <rFont val="Calibri"/>
        <b/>
        <color theme="1"/>
      </rPr>
      <t>Satisfaccion con servicios administrativos:</t>
    </r>
    <r>
      <rPr>
        <rFont val="Calibri"/>
        <color theme="1"/>
      </rPr>
      <t xml:space="preserve"> Valoracion global de los servicios administrativos y de apoyo recibidos por los estudiantes</t>
    </r>
  </si>
  <si>
    <t xml:space="preserve">Respuestas favorables / 
respuestas validas x 10
</t>
  </si>
  <si>
    <t xml:space="preserve">&gt;=80%
</t>
  </si>
  <si>
    <t xml:space="preserve">Cuantitativa indirecta
</t>
  </si>
  <si>
    <t xml:space="preserve">Encuesta anual de 
satisfaccion; reporte de 
servicio
</t>
  </si>
  <si>
    <t>Division of Administration Services and Finance / Division of Student Services</t>
  </si>
  <si>
    <r>
      <rPr>
        <color rgb="FF0000FF"/>
        <u/>
      </rPr>
      <t xml:space="preserve">Base Encuesta
</t>
    </r>
    <r>
      <rPr>
        <color rgb="FF1F1F1F"/>
        <sz val="10.0"/>
      </rPr>
      <t xml:space="preserve">(8) ¿Qué tan satisfecho/a está con la atención y respuesta del área de soporte o servicios estudiantiles?
</t>
    </r>
    <r>
      <rPr>
        <sz val="9.0"/>
      </rPr>
      <t xml:space="preserve">112 Encuestados al 14-07
neutral        19
satisfecho        38
muy satisfecho        46
</t>
    </r>
  </si>
  <si>
    <t>Contamos con 4 convenios activos de los cuales 1 ofrece impacto a nivel matrículas con un 73% de la participación en matriculas de pregrado.</t>
  </si>
  <si>
    <t>Percepción de Marca Global</t>
  </si>
  <si>
    <t>≥60%</t>
  </si>
  <si>
    <t>En las encuestas que se han aplicado hasta el momento (registros, servicios al estudiante y marketing) no se ha considerado el item</t>
  </si>
  <si>
    <t>Satisfacción de Socios</t>
  </si>
  <si>
    <t>E3-I02</t>
  </si>
  <si>
    <r>
      <rPr>
        <rFont val="Calibri"/>
        <b/>
        <color theme="1"/>
      </rPr>
      <t>Clima laboral administrativo:</t>
    </r>
    <r>
      <rPr>
        <rFont val="Calibri"/>
        <color theme="1"/>
      </rPr>
      <t xml:space="preserve"> Percepcion del staff sobre  liderazgo, colaboración,  recursos, desarrollo y  ambiente laboral.</t>
    </r>
  </si>
  <si>
    <t xml:space="preserve">Respuestas favorables / 
respuestas validas x 100
</t>
  </si>
  <si>
    <t xml:space="preserve">&gt;=85%
</t>
  </si>
  <si>
    <t xml:space="preserve">Nueva Propuesta </t>
  </si>
  <si>
    <t>Encuesta anual al staff</t>
  </si>
  <si>
    <t>Yajayra</t>
  </si>
  <si>
    <t>Reconocimiento en Rankings</t>
  </si>
  <si>
    <t>Aparecer en un ranking</t>
  </si>
  <si>
    <t>Informe: Informe del Indicador 3.4 - Clima Laboral Administrativo - Plan de Efectividad 2025-2026 Anual2025 (1).pdf
Indice de Satisfaccion (%)=Número total de respuestas/Número de respuestas con valores 3, 4 y 5​×100
Encuesta: ENCUESTA DEL CLIMA LABORAL STAFF - BGU.pdf</t>
  </si>
  <si>
    <t>En el periodo Julio 2025 / Junio 2026, no estamos en ninguno y se está prospectando fuentes con RF para trabajarlas.</t>
  </si>
  <si>
    <t>Nº Alianzas Firmadas</t>
  </si>
  <si>
    <t>≥20</t>
  </si>
  <si>
    <t xml:space="preserve">Posicionamiento Global </t>
  </si>
  <si>
    <t>E3-S01</t>
  </si>
  <si>
    <r>
      <rPr>
        <rFont val="Calibri"/>
        <b/>
        <color theme="1"/>
      </rPr>
      <t>Permanencia del personal administrativo:</t>
    </r>
    <r>
      <rPr>
        <rFont val="Calibri"/>
        <color theme="1"/>
      </rPr>
      <t xml:space="preserve"> Continuidad del personal elegible durante el periodo.</t>
    </r>
  </si>
  <si>
    <t xml:space="preserve">Staff que continua / staff 
elegible inicial x 100
</t>
  </si>
  <si>
    <t>DDI.PR.01.RG.01 Control de Suscripción de Convenios Nacionales e Internacionales Rev.00_2026</t>
  </si>
  <si>
    <t xml:space="preserve">Nómina y registros de 
recursos humanos
</t>
  </si>
  <si>
    <t>Matriz de análisis y evaluación formal del Plan de Efectividad</t>
  </si>
  <si>
    <t>Permanencia del Personal Administrativo: Cuadro de asignación de personal y Job Description BGU</t>
  </si>
  <si>
    <t>En progreso 9 Por firmar</t>
  </si>
  <si>
    <t>Nº Estudiantes en Movilidad</t>
  </si>
  <si>
    <t>Cultura Universitaria</t>
  </si>
  <si>
    <t>≥50</t>
  </si>
  <si>
    <t>E3-S02</t>
  </si>
  <si>
    <t>Solicitar cifra visible de Intercambio por convenio</t>
  </si>
  <si>
    <r>
      <rPr>
        <rFont val="Calibri"/>
        <b/>
        <color theme="1"/>
      </rPr>
      <t>Capacitacion administrativa:</t>
    </r>
    <r>
      <rPr>
        <rFont val="Calibri"/>
        <color theme="1"/>
      </rPr>
      <t xml:space="preserve"> Cumplimiento del plan anual de capacitación del staff.</t>
    </r>
  </si>
  <si>
    <t xml:space="preserve">Staff que completa 
capacitación / staff activo 
x 100
</t>
  </si>
  <si>
    <t xml:space="preserve">Registros de capacitación 
y certificados
</t>
  </si>
  <si>
    <t>Membresías Internacionales</t>
  </si>
  <si>
    <t>Informe con corte a Junio 2026 - 93,33%: Informe del Indicado 3.6 - Capacitación Administrativa</t>
  </si>
  <si>
    <t>Informe Licenciamiento y Acreditación</t>
  </si>
  <si>
    <t>Valor del corte</t>
  </si>
  <si>
    <t>Índice de Formación Integral</t>
  </si>
  <si>
    <t>Análisis</t>
  </si>
  <si>
    <t>Acción / decisión</t>
  </si>
  <si>
    <t>Apoyo Económico y Acceso</t>
  </si>
  <si>
    <t>Fecha compromiso</t>
  </si>
  <si>
    <t>E3-O01</t>
  </si>
  <si>
    <r>
      <rPr>
        <rFont val="Calibri"/>
        <b/>
        <color theme="1"/>
      </rPr>
      <t>Resolucion en primer contacto:</t>
    </r>
    <r>
      <rPr>
        <rFont val="Calibri"/>
        <color theme="1"/>
      </rPr>
      <t xml:space="preserve"> Casos resueltos sin  escalamiento ni  reapertura dentro del periodo de control.</t>
    </r>
  </si>
  <si>
    <t>Inclusión y Diversidad Percibida</t>
  </si>
  <si>
    <t xml:space="preserve">Casos resueltos en primer 
contacto / casos cerrados 
x 100
</t>
  </si>
  <si>
    <t xml:space="preserve">Zoho Desk, Bitrix u otro 
sistema de tickets
</t>
  </si>
  <si>
    <t xml:space="preserve">Pendiente </t>
  </si>
  <si>
    <t>1.1</t>
  </si>
  <si>
    <t>Mejorar el planteamiento de la pregunta</t>
  </si>
  <si>
    <t>Miércoles 22</t>
  </si>
  <si>
    <t>4.62</t>
  </si>
  <si>
    <t>Participación en Actividades Culturales</t>
  </si>
  <si>
    <t>E3-O02</t>
  </si>
  <si>
    <r>
      <rPr>
        <rFont val="Calibri"/>
        <b/>
        <color theme="1"/>
      </rPr>
      <t>Tiempo medio de respuesta:</t>
    </r>
    <r>
      <rPr>
        <rFont val="Calibri"/>
        <color theme="1"/>
      </rPr>
      <t xml:space="preserve"> Tiempo promedio transcurrido entre la recepcion de una solicitud y la primera respuesta util
</t>
    </r>
  </si>
  <si>
    <t xml:space="preserve">Suma de horas hasta 
primera respuesta / 
solicitudes atendidas
</t>
  </si>
  <si>
    <t xml:space="preserve">&lt;=6 horas
</t>
  </si>
  <si>
    <t xml:space="preserve">Sistema de tickets y 
reportes de SLA
</t>
  </si>
  <si>
    <t xml:space="preserve">Mensual
</t>
  </si>
  <si>
    <t>Clima Ético Universitario</t>
  </si>
  <si>
    <t>E4. Plataformas Tecnológicas</t>
  </si>
  <si>
    <t>Proveer plataformas tecnológicas seguras, disponibles y adoptadas que mejoren aprendizaje y operaciones.</t>
  </si>
  <si>
    <t>E4-I01</t>
  </si>
  <si>
    <t>Sentido de Pertenencia</t>
  </si>
  <si>
    <r>
      <rPr>
        <rFont val="Calibri"/>
        <b/>
        <color theme="1"/>
      </rPr>
      <t>Satisfaccion general con plataformas LMS/SIS:</t>
    </r>
    <r>
      <rPr>
        <rFont val="Calibri"/>
        <color theme="1"/>
      </rPr>
      <t xml:space="preserve"> Valoracion de usabilidad, fiabilidad y experiencia del entorno tecnologico.</t>
    </r>
  </si>
  <si>
    <t xml:space="preserve">Promedio de encuesta 
institucional (1-5)
</t>
  </si>
  <si>
    <t>Encuestas institucionales</t>
  </si>
  <si>
    <t xml:space="preserve">Division of Student Services / Division of Academic Affairs
</t>
  </si>
  <si>
    <t>Anthony Robles</t>
  </si>
  <si>
    <t>1.2</t>
  </si>
  <si>
    <t>https://support.blackwell.university/tech-infrastructure-reports/</t>
  </si>
  <si>
    <t>Participación en Cultura BGU</t>
  </si>
  <si>
    <t>Participación de BGU en foros/seminarios internacionales</t>
  </si>
  <si>
    <t>Academic Affairs Division</t>
  </si>
  <si>
    <t>Meet&amp;Greet</t>
  </si>
  <si>
    <t xml:space="preserve">No reportó </t>
  </si>
  <si>
    <t>Nº Actividades Inclusión y Diversidad</t>
  </si>
  <si>
    <t>E4-S01</t>
  </si>
  <si>
    <t>≥4</t>
  </si>
  <si>
    <t>1.3</t>
  </si>
  <si>
    <r>
      <rPr>
        <rFont val="Calibri"/>
        <b/>
        <color theme="1"/>
      </rPr>
      <t>Disponibilidad de sistemas criticos (Uptime):</t>
    </r>
    <r>
      <rPr>
        <rFont val="Calibri"/>
        <color theme="1"/>
      </rPr>
      <t xml:space="preserve"> Continuidad del servicio en LMS, SIS y otros sistemas definidos como criticos.</t>
    </r>
  </si>
  <si>
    <t xml:space="preserve">Horas disponibles / horas 
programadas x 100
</t>
  </si>
  <si>
    <t xml:space="preserve">&gt;=99.9%
</t>
  </si>
  <si>
    <t>https://es.linkedin.com/posts/blackwell-global-university_blackwell-global-university-presente-activity-7469856343982649344-1zXq</t>
  </si>
  <si>
    <t xml:space="preserve">Logs y reportes de 
infraestructura
</t>
  </si>
  <si>
    <t xml:space="preserve">Administration Services and Finance / Technology
</t>
  </si>
  <si>
    <t>Campus LMS = 99,99%
Activa = 99,99%</t>
  </si>
  <si>
    <t>https://support.blackwell.university/Uptime</t>
  </si>
  <si>
    <t>BGU formó parte del proyecto internacional New Business Leaders for the New World (NBL2), desarrollado en Polonia y organizado por la Warsaw School of Economics (SGH).</t>
  </si>
  <si>
    <t>Identificar nuevos proyectos</t>
  </si>
  <si>
    <t>1.4</t>
  </si>
  <si>
    <t>Admissions and Marketing Division</t>
  </si>
  <si>
    <t>E4-S02</t>
  </si>
  <si>
    <t>Voluntariado Estudiantil</t>
  </si>
  <si>
    <r>
      <rPr>
        <rFont val="Calibri"/>
        <b/>
        <color theme="1"/>
      </rPr>
      <t>Seguridad percibida:</t>
    </r>
    <r>
      <rPr>
        <rFont val="Calibri"/>
        <color theme="1"/>
      </rPr>
      <t xml:space="preserve"> Confianza de estudiantes y faculty en la proteccion de datos personales y academicos.</t>
    </r>
  </si>
  <si>
    <t xml:space="preserve">&gt;=90%
</t>
  </si>
  <si>
    <t xml:space="preserve">Encuesta anual de 
tecnologia y privacidad
</t>
  </si>
  <si>
    <t xml:space="preserve">Division of Student 
Services / Division of 
Academic Affairs
</t>
  </si>
  <si>
    <t>No se ejecutó</t>
  </si>
  <si>
    <r>
      <rPr>
        <b/>
      </rPr>
      <t xml:space="preserve">No disponemos de la encuesta.
</t>
    </r>
    <r>
      <rPr/>
      <t xml:space="preserve">Propuesta: </t>
    </r>
    <r>
      <rPr>
        <b/>
        <color rgb="FF1155CC"/>
        <u/>
      </rPr>
      <t>https://support.blackwell.university/it-security/</t>
    </r>
    <r>
      <rPr>
        <b/>
      </rPr>
      <t xml:space="preserve">
</t>
    </r>
    <r>
      <rPr/>
      <t xml:space="preserve">Políticas de protección de datos y seguridad
</t>
    </r>
    <r>
      <rPr>
        <color rgb="FF1155CC"/>
        <u/>
      </rPr>
      <t xml:space="preserve">https://docs.google.com/document/d/1aBR7ldYpulRs7XhVqGswRm3MEF1tLrntJ-Oad22f0jQ/edit?tab=t.0
</t>
    </r>
    <r>
      <rPr/>
      <t xml:space="preserve">
</t>
    </r>
    <r>
      <rPr>
        <color rgb="FF1155CC"/>
        <u/>
      </rPr>
      <t>https://docs.google.com/document/d/1RFrZQHdt4AwnFpWNjISEgZEEMaypGjVfMpqHYNIHxFY/edit?tab=t.0</t>
    </r>
  </si>
  <si>
    <t>Student Satisfaction Rate (Cultura)</t>
  </si>
  <si>
    <t>Drive</t>
  </si>
  <si>
    <t>Avance</t>
  </si>
  <si>
    <t>1.5</t>
  </si>
  <si>
    <t>16.Blackwell Global University es cálida, amigable y brinda apoyo a los estudiantes.</t>
  </si>
  <si>
    <t>Apoyo Económico</t>
  </si>
  <si>
    <t>Satisfacción con Becas y Apoyo Económico</t>
  </si>
  <si>
    <t>Opinión favorable</t>
  </si>
  <si>
    <t>E4-O01</t>
  </si>
  <si>
    <r>
      <rPr>
        <rFont val="Calibri"/>
        <b/>
        <color theme="1"/>
      </rPr>
      <t xml:space="preserve">Optimizacion de procesos: </t>
    </r>
    <r>
      <rPr>
        <rFont val="Calibri"/>
        <color theme="1"/>
      </rPr>
      <t>Procesos institucionales automatizados o redisenados y puestos en produccion durante el periodo.</t>
    </r>
  </si>
  <si>
    <t xml:space="preserve">Conteo de procesos 
implementados y 
validados
</t>
  </si>
  <si>
    <t xml:space="preserve">&gt;=5 nuevos por año
</t>
  </si>
  <si>
    <t xml:space="preserve">Registro de procesos; 
actas de aceptacion
</t>
  </si>
  <si>
    <t>Percepción de Equidad</t>
  </si>
  <si>
    <t>Formularios Admision Acreditación
Proyecto Capstone
Chatfuel Master / doctorado / Licenciatura
Chatfuel DCE
ORA IA BGU
Trabajos finales
Sesiones Eurocoach
Sesiones Mentoring
Activa Student / Admin
Reporte de Consolidado de Deudas y Recaudación de la Empresa por fechas.
Sincronización de alumnos y sus cursos en el Moodle
Retiro del estudiante y suspension de acceso al Moodle
Sincronizacion de califaciones del moodle a la base de datos Activa
Creacion de cuotas del producto y cuenta de google workspace despues de procesar el pago inicial del alumno
Envio de correos electronicos con plantillas automaticas segun produto/categoria/empresa</t>
  </si>
  <si>
    <t>1.6</t>
  </si>
  <si>
    <t>Impacto académico de convenios</t>
  </si>
  <si>
    <t>Impacto Percibido</t>
  </si>
  <si>
    <t>E4-O02</t>
  </si>
  <si>
    <r>
      <rPr>
        <rFont val="Calibri"/>
        <b/>
        <color theme="1"/>
      </rPr>
      <t xml:space="preserve">Adopcion y capacitacion en plataformas: </t>
    </r>
    <r>
      <rPr>
        <rFont val="Calibri"/>
        <color theme="1"/>
      </rPr>
      <t>Usuarios obligados que completan la capacitacion anual en EdTech y ciberseguridad.</t>
    </r>
  </si>
  <si>
    <t xml:space="preserve">Usuarios capacitados / 
usuarios obligados x 100
</t>
  </si>
  <si>
    <t xml:space="preserve">LMS de capacitación; 
certificados
</t>
  </si>
  <si>
    <t xml:space="preserve">Division of Academic Affairs / Division of Continuing Education
</t>
  </si>
  <si>
    <t>Confianza en el Sistema de Becas</t>
  </si>
  <si>
    <t>1.7</t>
  </si>
  <si>
    <r>
      <rPr>
        <rFont val="Calibri"/>
        <b/>
        <color theme="1"/>
      </rPr>
      <t>0% NUEVO KPI - Por implementar</t>
    </r>
    <r>
      <rPr>
        <rFont val="Calibri"/>
        <color theme="1"/>
      </rPr>
      <t xml:space="preserve">
Se gestionará cronograma para la capacitación</t>
    </r>
  </si>
  <si>
    <t>E5. Posicionamiento Global</t>
  </si>
  <si>
    <t>Monto Total de Becas</t>
  </si>
  <si>
    <t>≥3.6M USD</t>
  </si>
  <si>
    <t>Crear alianzas y oportunidades globales con impacto académico, profesional y reputacional medible.</t>
  </si>
  <si>
    <t>Opinión sobre visibilidad internacional Asociación de marca</t>
  </si>
  <si>
    <r>
      <rPr>
        <rFont val="Arial Narrow"/>
        <sz val="11.0"/>
      </rPr>
      <t xml:space="preserve">3,25 M
Reporte: </t>
    </r>
    <r>
      <rPr>
        <rFont val="Arial Narrow"/>
        <color rgb="FF1155CC"/>
        <sz val="11.0"/>
        <u/>
      </rPr>
      <t>https://docs.google.com/spreadsheets/d/1DO8PuDas2OPdtnPAeii96zm_4h5Y1EgL4TFvRVCwZPo/edit?gid=0#gid=0</t>
    </r>
  </si>
  <si>
    <t xml:space="preserve">E5-I01
</t>
  </si>
  <si>
    <t xml:space="preserve">Institucional
</t>
  </si>
  <si>
    <r>
      <rPr>
        <rFont val="Calibri"/>
        <b/>
        <color theme="1"/>
      </rPr>
      <t>Placement Rate:</t>
    </r>
    <r>
      <rPr>
        <rFont val="Calibri"/>
        <color theme="1"/>
      </rPr>
      <t xml:space="preserve"> Graduados elegibles que reportan empleo, mejora laboral, emprendimiento o continuidad academica dentro de la ventana definida.</t>
    </r>
  </si>
  <si>
    <t>en proceso</t>
  </si>
  <si>
    <t xml:space="preserve">Graduados con resultado 
favorable / graduados 
elegibles localizados x 
100
</t>
  </si>
  <si>
    <t xml:space="preserve">Encuesta de egresados; 
verificacion de Career 
Service
</t>
  </si>
  <si>
    <t>1.8</t>
  </si>
  <si>
    <t>Informe Finanzas</t>
  </si>
  <si>
    <t>Posición en rankings</t>
  </si>
  <si>
    <t>Fondos Captados de Donantes</t>
  </si>
  <si>
    <t xml:space="preserve"> Ratios 801 Data Collection (18.11.25) .xlsx
Fueron 46 respuestas
Población 172</t>
  </si>
  <si>
    <t>≥0.2M USD</t>
  </si>
  <si>
    <t>% Estudiantes con Apoyo Económico</t>
  </si>
  <si>
    <t xml:space="preserve">E5-I02
</t>
  </si>
  <si>
    <t>1.9</t>
  </si>
  <si>
    <t>≥25%</t>
  </si>
  <si>
    <r>
      <rPr>
        <rFont val="Calibri"/>
        <b/>
        <color theme="1"/>
      </rPr>
      <t>Percepcion de marca global:</t>
    </r>
    <r>
      <rPr>
        <rFont val="Calibri"/>
        <color theme="1"/>
      </rPr>
      <t xml:space="preserve"> Reconocimiento y asociacion favorable de BGU entre grupos de interes seleccionados.
</t>
    </r>
  </si>
  <si>
    <t xml:space="preserve">Respuestas favorables / 
respuestas validas x 100
</t>
  </si>
  <si>
    <t>Cantidad de convenios activos</t>
  </si>
  <si>
    <t xml:space="preserve">&gt;=60%
</t>
  </si>
  <si>
    <t>Registros becas</t>
  </si>
  <si>
    <t xml:space="preserve">Encuestas a estudiantes, 
alumni y aliados
</t>
  </si>
  <si>
    <t>Nº países representados en matrícula</t>
  </si>
  <si>
    <t xml:space="preserve">Division of Admissions and Marketing
</t>
  </si>
  <si>
    <t>En proceso</t>
  </si>
  <si>
    <t>está cumpliendo con el indicador, aún está en proceso. el estado actual es de 20  países</t>
  </si>
  <si>
    <t>El indicador E5-I02 (Percepción de marca global) no ha sido ejecutado a la fecha debido a que aún no se cuenta con el instrumento de medición (encuesta de percepción de marca) diseñado y aplicado a los grupos de interés. En las encuestas aplicadas hasta el momento por las áreas de Registros (Encuesta de Satisfacción Estudiantil), Servicios al Estudiante (Encuesta de Seguimiento al Egresado - BGU 2025) y Marketing (Buyer Persona), no se ha considerado este ítem. Para su cálculo, se requiere elaborar dicho instrumento, definir los grupos de interés a encuestar y establecer la periodicidad de aplicación.</t>
  </si>
  <si>
    <t>Retention Rate Becados</t>
  </si>
  <si>
    <t xml:space="preserve">continue el indicador </t>
  </si>
  <si>
    <t xml:space="preserve">Final de año académico </t>
  </si>
  <si>
    <t>1.10</t>
  </si>
  <si>
    <t>E5-S01</t>
  </si>
  <si>
    <t xml:space="preserve">Estratégico
</t>
  </si>
  <si>
    <r>
      <rPr>
        <rFont val="Calibri"/>
        <b/>
        <color theme="1"/>
      </rPr>
      <t>Relevancia de alianzas:</t>
    </r>
    <r>
      <rPr>
        <rFont val="Calibri"/>
        <color theme="1"/>
      </rPr>
      <t xml:space="preserve"> Impacto academico, profesional o reputacional de los convenios activos</t>
    </r>
  </si>
  <si>
    <t xml:space="preserve">Promedio de rubrica 
institucional de impacto 
(1-5)
</t>
  </si>
  <si>
    <t xml:space="preserve">&gt;=4/5
</t>
  </si>
  <si>
    <t xml:space="preserve">Informe anual de 
convenios y evidencias de 
actividad
</t>
  </si>
  <si>
    <t xml:space="preserve">Division of Admissions and Marketing / Division of Academic Affairs
</t>
  </si>
  <si>
    <t>Graduation Rate Becados</t>
  </si>
  <si>
    <t xml:space="preserve">Capital Humano </t>
  </si>
  <si>
    <t>RELEVANCIA DE ALIANZAS - RÚBRICA</t>
  </si>
  <si>
    <t>Programas activos/total de oferta</t>
  </si>
  <si>
    <t xml:space="preserve">Informe sobre la encuesta de Clima Laboral </t>
  </si>
  <si>
    <t xml:space="preserve">Se mantiene al 100%, cumple con el indicador </t>
  </si>
  <si>
    <t>2.1</t>
  </si>
  <si>
    <t>E5-S02</t>
  </si>
  <si>
    <t xml:space="preserve">Estratégico
</t>
  </si>
  <si>
    <t>Opinión estudiantil sobre docencia</t>
  </si>
  <si>
    <r>
      <rPr>
        <rFont val="Calibri"/>
        <b/>
        <color theme="1"/>
      </rPr>
      <t>Estudiantes en movilidad o experiencia internacional:</t>
    </r>
    <r>
      <rPr>
        <rFont val="Calibri"/>
        <color theme="1"/>
      </rPr>
      <t xml:space="preserve"> Participacion estudiantil en intercambio, movilidad virtual, proyectos o actividades internacionales verificadas</t>
    </r>
  </si>
  <si>
    <t>COMPLETO</t>
  </si>
  <si>
    <t xml:space="preserve">Conteo de participantes 
unicos
</t>
  </si>
  <si>
    <t>&gt;=50</t>
  </si>
  <si>
    <t xml:space="preserve">El promedio es de 4.5 y cumple con la meta esperada </t>
  </si>
  <si>
    <t xml:space="preserve">Registro de movilidad y 
actividades 
internacionales
</t>
  </si>
  <si>
    <t xml:space="preserve">Continuar con las encuestas </t>
  </si>
  <si>
    <t xml:space="preserve">
Division of Student Services / Division of Academic Affairs
</t>
  </si>
  <si>
    <t>Summer</t>
  </si>
  <si>
    <t xml:space="preserve">Se ha recibido un puntaje de 4 ; 5 y 4.62 se considera favorable </t>
  </si>
  <si>
    <t>Mayo</t>
  </si>
  <si>
    <t xml:space="preserve">Final del semestre </t>
  </si>
  <si>
    <t xml:space="preserve">Meet and Greet, Congresos, American experience
-New Business Leaders for a New World: 3
</t>
  </si>
  <si>
    <t>2.2</t>
  </si>
  <si>
    <t>Division of Continuing Education/Division of Academic Affairs</t>
  </si>
  <si>
    <t>Junio</t>
  </si>
  <si>
    <t>E5-O01</t>
  </si>
  <si>
    <r>
      <rPr>
        <rFont val="Calibri"/>
        <b/>
        <color theme="1"/>
      </rPr>
      <t xml:space="preserve">Convenios activos: </t>
    </r>
    <r>
      <rPr>
        <rFont val="Calibri"/>
        <color theme="1"/>
      </rPr>
      <t xml:space="preserve">Convenios vigentes </t>
    </r>
  </si>
  <si>
    <t xml:space="preserve">Conteo de convenios 
activos y verificados
</t>
  </si>
  <si>
    <t>&gt;=20</t>
  </si>
  <si>
    <t xml:space="preserve">Registro de convenios; 
actas; productos y 
reportes
</t>
  </si>
  <si>
    <t>2.3</t>
  </si>
  <si>
    <t>CONVENIOS ACTIVOS VERIFICADOS</t>
  </si>
  <si>
    <t xml:space="preserve">Julio </t>
  </si>
  <si>
    <t>Agosto</t>
  </si>
  <si>
    <t>2.4</t>
  </si>
  <si>
    <t>E6. Cultura Universitaria</t>
  </si>
  <si>
    <t>Promover una cultura ética, inclusiva, diversa y con sentido de pertenencia.</t>
  </si>
  <si>
    <t>E6-I01</t>
  </si>
  <si>
    <r>
      <rPr>
        <rFont val="Calibri"/>
        <b/>
        <color theme="1"/>
      </rPr>
      <t>Sentido de pertenencia:</t>
    </r>
    <r>
      <rPr>
        <rFont val="Calibri"/>
        <color theme="1"/>
      </rPr>
      <t xml:space="preserve"> Percepcion de estudiantes, faculty y staff sobre identificacion, inclusion y vinculacion con la comunidad BGU.</t>
    </r>
  </si>
  <si>
    <t xml:space="preserve">Respuestas favorables / 
respuestas validas x 100
</t>
  </si>
  <si>
    <t>Cuantitativa indirecta</t>
  </si>
  <si>
    <t xml:space="preserve">Encuesta institucional de 
cultura y pertenencia
</t>
  </si>
  <si>
    <t xml:space="preserve">President / Division of Student Services
</t>
  </si>
  <si>
    <t>2.5</t>
  </si>
  <si>
    <t>Se recomienda incluir: ¿Qué tan identificado/a se siente con los valores y la comunidad de Blackwell Global University?</t>
  </si>
  <si>
    <t>ACADEMIC TERM</t>
  </si>
  <si>
    <t>E6-S01</t>
  </si>
  <si>
    <t xml:space="preserve">EVIDENCIAS </t>
  </si>
  <si>
    <r>
      <rPr>
        <rFont val="Calibri"/>
        <b/>
        <color theme="1"/>
      </rPr>
      <t>Indice de valores eticos y transversales (IVET):</t>
    </r>
    <r>
      <rPr>
        <rFont val="Calibri"/>
        <color theme="1"/>
      </rPr>
      <t xml:space="preserve"> Desarrollo percibido y evidenciado de fraternidad, etica, crecimiento, inclusion, diversidad, compromiso y excelencia.
</t>
    </r>
  </si>
  <si>
    <t>ENLACES</t>
  </si>
  <si>
    <t xml:space="preserve">(Suma de puntuaciones 
promedio / número de 
valores) x 100 / 5
</t>
  </si>
  <si>
    <t xml:space="preserve">FALL </t>
  </si>
  <si>
    <t xml:space="preserve">Rubricas, encuestas y 
evidencias de actividades 
formativas
</t>
  </si>
  <si>
    <t xml:space="preserve">Division of Academic Affairs / Compliance
</t>
  </si>
  <si>
    <t>EVALUACIÓN DE FALL 2025 - 2026  (INGLÉS)</t>
  </si>
  <si>
    <t>Evaluation_Report_IEP_Fall_2025.docx</t>
  </si>
  <si>
    <t>2.6</t>
  </si>
  <si>
    <t>(11) ¿Qué sugerencia tendría para mejorar o fortalecer la misión, visión, valores u objetivos institucionales?
Menciona los valores, pero es una pregunta abierta y no permite calcular el IVET.</t>
  </si>
  <si>
    <t>E6-O01</t>
  </si>
  <si>
    <r>
      <rPr>
        <rFont val="Calibri"/>
        <b/>
        <color theme="1"/>
      </rPr>
      <t>Capacitacion anual en etica e inclusion:</t>
    </r>
    <r>
      <rPr>
        <rFont val="Calibri"/>
        <color theme="1"/>
      </rPr>
      <t xml:space="preserve"> Cumplimiento de la formacion obligatoria en etica, inclusion, integridad academica y conducta institucional.</t>
    </r>
  </si>
  <si>
    <t xml:space="preserve">Personas que completan / 
personas obligadas x 100
</t>
  </si>
  <si>
    <t xml:space="preserve">&gt;=90%
</t>
  </si>
  <si>
    <t xml:space="preserve">Registros de capacitación 
y certificados
</t>
  </si>
  <si>
    <t xml:space="preserve">Compliance / Division of Administration Services and Finance
</t>
  </si>
  <si>
    <t>EVALUACIÓN DE FALL 2025 - 2026 (ESPAÑOL)</t>
  </si>
  <si>
    <t>Informe_Evaluacion_Plan_Efectividad_Fall_2025.docx</t>
  </si>
  <si>
    <t>No se realizaron capacitaciones en ética e inclusión.</t>
  </si>
  <si>
    <t>2.7</t>
  </si>
  <si>
    <t>E7. Apoyo Económico y Acceso</t>
  </si>
  <si>
    <t>Brindar apoyo económico transparente y sostenible que favorezca acceso y persistencia.</t>
  </si>
  <si>
    <t>E7-I01</t>
  </si>
  <si>
    <t>PRESIDENT'S REPORT - FALL 2025 - 2026 ACADEMIC TERM</t>
  </si>
  <si>
    <t>Presidents_Report_Fall_2025_Academic_Term.docx</t>
  </si>
  <si>
    <r>
      <rPr>
        <rFont val="Calibri"/>
        <b/>
        <color theme="1"/>
      </rPr>
      <t xml:space="preserve">Persistencia de beneficiarios de apoyo: </t>
    </r>
    <r>
      <rPr>
        <rFont val="Calibri"/>
        <color theme="1"/>
      </rPr>
      <t>Continuidad academica de estudiantes que reciben becas, subsidios u otra ayuda institucional.</t>
    </r>
  </si>
  <si>
    <t xml:space="preserve">Beneficiarios que 
continuan / beneficiarios 
elegibles iniciales x 100
</t>
  </si>
  <si>
    <t>Mayo - Julio</t>
  </si>
  <si>
    <t xml:space="preserve">SIS/SMS; registro de 
beneficiarios
</t>
  </si>
  <si>
    <t xml:space="preserve">Division of Student Services / Administration Services and Finance
</t>
  </si>
  <si>
    <t>2.8</t>
  </si>
  <si>
    <t>RESULTADOS DEL INSTITUTIONAL EFFECTIVENESS PLAN EVALUATION FALL 2025 - 2026</t>
  </si>
  <si>
    <t>Results_IEP_Evaluation_Fall_2025_President.docx</t>
  </si>
  <si>
    <t xml:space="preserve">E7-S01
</t>
  </si>
  <si>
    <r>
      <rPr>
        <rFont val="Calibri"/>
        <b/>
        <color theme="1"/>
      </rPr>
      <t>Satisfaccion con el apoyo economico y el acceso:</t>
    </r>
    <r>
      <rPr>
        <rFont val="Calibri"/>
        <color theme="1"/>
      </rPr>
      <t xml:space="preserve"> Valoracion de claridad, oportunidad, equidad y utilidad del proceso de ayuda.</t>
    </r>
  </si>
  <si>
    <t>Respuestas favorables / 
respuestas validas x 100</t>
  </si>
  <si>
    <t>SPRING</t>
  </si>
  <si>
    <t>&gt;=85%</t>
  </si>
  <si>
    <t>EVALUACIÓN DE SPRING 2025 - 2026  (INGLÉS)</t>
  </si>
  <si>
    <t>Encuesta a beneficiarios y 
solicitantes</t>
  </si>
  <si>
    <t xml:space="preserve">Evaluation Report on the Execution Results of the Institutional Effectiveness Plan Spring 2026 </t>
  </si>
  <si>
    <t>No se corrió encuesta de Satisfaccion con el apoyo economico y el acceso.</t>
  </si>
  <si>
    <t>EVALUACIÓN DE SPRING 2025 - 2026 (ESPAÑOL)</t>
  </si>
  <si>
    <t>Informe de Evaluación de Resultados de la Ejecución del Plan de Efectividad Institucional - SPRING</t>
  </si>
  <si>
    <t>2.9</t>
  </si>
  <si>
    <t>E7-O01</t>
  </si>
  <si>
    <r>
      <rPr>
        <rFont val="Calibri"/>
        <b/>
        <color theme="1"/>
      </rPr>
      <t>Fondos destinados a becas y subsidios:</t>
    </r>
    <r>
      <rPr>
        <rFont val="Calibri"/>
        <color theme="1"/>
      </rPr>
      <t xml:space="preserve"> Valor total de ayuda reconocida durante el periodo, con metodologia financiera documentada.</t>
    </r>
  </si>
  <si>
    <t>Suma validada de ayudas 
otorgadas; separar 
efectivo, descuento y 
exoneracion</t>
  </si>
  <si>
    <t>USD 3.6 M</t>
  </si>
  <si>
    <t>PRESIDENT'S REPORT - SPRING 2025 - 2026 ACADEMIC TERM</t>
  </si>
  <si>
    <t xml:space="preserve">Registros financieros y de 
ayuda estudiantil
</t>
  </si>
  <si>
    <t>President’s Report – Spring 2026 Academic Term</t>
  </si>
  <si>
    <t xml:space="preserve">Division of Administration Services and Finance
</t>
  </si>
  <si>
    <t>USD 3,90 M</t>
  </si>
  <si>
    <r>
      <rPr>
        <sz val="11.0"/>
      </rPr>
      <t>Reporte: Monto Total de GRANT</t>
    </r>
    <r>
      <rPr>
        <color rgb="FF1155CC"/>
        <sz val="11.0"/>
        <u/>
      </rPr>
      <t xml:space="preserve">
</t>
    </r>
    <r>
      <rPr>
        <sz val="11.0"/>
      </rPr>
      <t>Reporte Consolidado de Admisión: Reporte Consolidado de Admisión Blackwell Global University</t>
    </r>
  </si>
  <si>
    <t>RESULTADOS DEL INSTITUTIONAL EFFECTIVENESS PLAN EVALUATION SPRING 2025 - 2026</t>
  </si>
  <si>
    <t>Results of the Institutional Effectiveness Plan Evaluation - Spring 2026 Academic Term - President</t>
  </si>
  <si>
    <t>2.10</t>
  </si>
  <si>
    <t>SUMMER</t>
  </si>
  <si>
    <t>EVALUACIÓN DE SUMMER 2025 - 2026  (INGLÉS)</t>
  </si>
  <si>
    <t xml:space="preserve">E7-O0
</t>
  </si>
  <si>
    <r>
      <rPr>
        <rFont val="Calibri"/>
        <b/>
        <color theme="1"/>
      </rPr>
      <t>Fondos recibidos de donantes:</t>
    </r>
    <r>
      <rPr>
        <rFont val="Calibri"/>
        <color theme="1"/>
      </rPr>
      <t xml:space="preserve"> Recursos efectivamente recibidos de terceros para apoyar acceso, becas o iniciativas estudiantiles.</t>
    </r>
  </si>
  <si>
    <t>EVALUACIÓN DE SUMMER 2025 - 2026 (ESPAÑOL)</t>
  </si>
  <si>
    <t>Suma de ingresos 
recibidos y conciliados</t>
  </si>
  <si>
    <t>USD 0.2 M</t>
  </si>
  <si>
    <t>PRESIDENT'S REPORT - SUMMER 2025 - 2026 ACADEMIC TERM</t>
  </si>
  <si>
    <t xml:space="preserve">Contabilidad; contratos y 
recibos de donacion
</t>
  </si>
  <si>
    <t>RESULTADOS DEL INSTITUTIONAL EFFECTIVENESS PLAN EVALUATION SUMMER 2025 - 2026</t>
  </si>
  <si>
    <t xml:space="preserve">Division of Administration Services and Finance / President
</t>
  </si>
  <si>
    <t>ANUAL</t>
  </si>
  <si>
    <t>USD 0 M</t>
  </si>
  <si>
    <t>No se han recibido recursos de donantes</t>
  </si>
  <si>
    <t>3.1</t>
  </si>
  <si>
    <t>Total</t>
  </si>
  <si>
    <t>3.2</t>
  </si>
  <si>
    <t>Tipo</t>
  </si>
  <si>
    <t>Descripción</t>
  </si>
  <si>
    <t>Fórmula de Cálculo</t>
  </si>
  <si>
    <t>Meta Esperada</t>
  </si>
  <si>
    <t>Fuente de Verificación</t>
  </si>
  <si>
    <t>Criterio C1</t>
  </si>
  <si>
    <t>Criterio C2</t>
  </si>
  <si>
    <t>Criterio C3</t>
  </si>
  <si>
    <t>3.3</t>
  </si>
  <si>
    <t>Establecer una comunidad de aprendizaje diversa y global, mediante programas académicos y de educación continua en diversos idiomas.</t>
  </si>
  <si>
    <t>Cualitativo</t>
  </si>
  <si>
    <t>Evalúa la alineación de programas con demandas globales</t>
  </si>
  <si>
    <t>Rúbrica documental (1–5)</t>
  </si>
  <si>
    <t>Informes de revisión curricular</t>
  </si>
  <si>
    <t>En levantamiento o pendiente de medición anual</t>
  </si>
  <si>
    <t>Avance del levantamiento / revisión de evidencia</t>
  </si>
  <si>
    <t>Emitir evaluación final anual</t>
  </si>
  <si>
    <t>3.4</t>
  </si>
  <si>
    <t>Mide idiomas en que se ofrecen programas</t>
  </si>
  <si>
    <t>Programas en otros idiomas / total ×100</t>
  </si>
  <si>
    <t>Oferta académica oficial</t>
  </si>
  <si>
    <t>Opinión del staff</t>
  </si>
  <si>
    <t>EN LEVANTAMIENTO</t>
  </si>
  <si>
    <t>Se envío evidencia de los resultados de la encuesta</t>
  </si>
  <si>
    <t xml:space="preserve">Continuar </t>
  </si>
  <si>
    <t>Opinión sobre innovación curricular</t>
  </si>
  <si>
    <t>Encuesta Likert (1–5)</t>
  </si>
  <si>
    <t>Encuestas a estudiantes y docentes</t>
  </si>
  <si>
    <t>3.5</t>
  </si>
  <si>
    <t>Satisfacción con modalidades (online)</t>
  </si>
  <si>
    <t>Encuesta de satisfacción (1–5)</t>
  </si>
  <si>
    <t>3.6</t>
  </si>
  <si>
    <t>Opinión de expertos externos sobre programas</t>
  </si>
  <si>
    <t>Rúbrica de evaluación de pares externos</t>
  </si>
  <si>
    <t>Informes de evaluación externa</t>
  </si>
  <si>
    <t>Cuantitativo</t>
  </si>
  <si>
    <t>3.7</t>
  </si>
  <si>
    <t>Total de programas aprobados por regulador</t>
  </si>
  <si>
    <t>Conteo anual</t>
  </si>
  <si>
    <t>Resoluciones CIE</t>
  </si>
  <si>
    <t>% estudiantes que se gradúan a tiempo</t>
  </si>
  <si>
    <t>(Graduados cohorte / ingresantes cohorte)×100</t>
  </si>
  <si>
    <t>Registros académicos</t>
  </si>
  <si>
    <t>3.8</t>
  </si>
  <si>
    <t>% estudiantes que permanecen activos</t>
  </si>
  <si>
    <t>[(Matriculados–Retirados)/Matriculados]×100</t>
  </si>
  <si>
    <t>Sistema académico (SMS)</t>
  </si>
  <si>
    <t>3.9</t>
  </si>
  <si>
    <t>(Programas activos / total) ×100</t>
  </si>
  <si>
    <t>Plan académico anual</t>
  </si>
  <si>
    <t>Mantener un claustro académico superior que proyecte calidad y solidez, mediante selección curada de profesores con experiencia internacional vigente, especialistas en su materia.</t>
  </si>
  <si>
    <t>Encuesta final de curso</t>
  </si>
  <si>
    <t>Analizar valor/tendencia acumulada hasta el corte</t>
  </si>
  <si>
    <t>3.10</t>
  </si>
  <si>
    <t>Formación continua docente</t>
  </si>
  <si>
    <t>% docentes capacitados al año</t>
  </si>
  <si>
    <t>Representación de nacionalidades en claustro</t>
  </si>
  <si>
    <t>Conteo de nacionalidades</t>
  </si>
  <si>
    <t>Nómina docente</t>
  </si>
  <si>
    <t>4.1</t>
  </si>
  <si>
    <t>Aplicación de nuevas metodologías</t>
  </si>
  <si>
    <t>Encuestas a estudiantes</t>
  </si>
  <si>
    <t>4.2</t>
  </si>
  <si>
    <t>Opinión de expertos externos sobre calidad docente</t>
  </si>
  <si>
    <t>Rúbrica de pares externos</t>
  </si>
  <si>
    <t>Informes de evaluación</t>
  </si>
  <si>
    <t>Docentes con perfil internacional</t>
  </si>
  <si>
    <t>(Docentes top/total)×100</t>
  </si>
  <si>
    <t>Registro de docentes</t>
  </si>
  <si>
    <t>4.3</t>
  </si>
  <si>
    <t>Retención de profesores</t>
  </si>
  <si>
    <t>(Docentes activos/total inicial)×100</t>
  </si>
  <si>
    <t>Publicaciones y conferencias anuales</t>
  </si>
  <si>
    <t>Registros de investigación</t>
  </si>
  <si>
    <t>4.4</t>
  </si>
  <si>
    <t>≥99,9%</t>
  </si>
  <si>
    <t>el promedio acumulado o el último valor consolidado del periodo;</t>
  </si>
  <si>
    <t>Uptime promedio al corte: LMS 99,99% / SIS 99,95%</t>
  </si>
  <si>
    <t>Mantener seguimiento mensual.</t>
  </si>
  <si>
    <t>Opinión sobre enseñanza</t>
  </si>
  <si>
    <t>Encuestas de fin de curso</t>
  </si>
  <si>
    <t>Encuestas</t>
  </si>
  <si>
    <t>Promedio LMS: 99.99%
Promedio SIS: 99.98%</t>
  </si>
  <si>
    <t>4.5</t>
  </si>
  <si>
    <t>Éxito en finalización de posgrados</t>
  </si>
  <si>
    <t>(Graduados PG / total PG)×100</t>
  </si>
  <si>
    <t>Contar con personal administrativo que cumple estándares globales de idiomas, experiencia y perfil innovador, que permita eficiencias operativas.</t>
  </si>
  <si>
    <t>Opinión sobre servicios de la central de atención</t>
  </si>
  <si>
    <t>4.6</t>
  </si>
  <si>
    <t>Encuesta (1–5)</t>
  </si>
  <si>
    <t>Encuesta estudiantil</t>
  </si>
  <si>
    <t>Valoración de mejoras de gestión</t>
  </si>
  <si>
    <t>Conteo de ACPs aceptadas</t>
  </si>
  <si>
    <t>4.7</t>
  </si>
  <si>
    <t>Opinión sobre canales y horarios</t>
  </si>
  <si>
    <t>Encuesta (%)</t>
  </si>
  <si>
    <t>≤USD 500</t>
  </si>
  <si>
    <t>Gasto total en infraestructura y licencias tecnológicas por estudiante.</t>
  </si>
  <si>
    <t xml:space="preserve">4.95 $ es menor a USD 500 </t>
  </si>
  <si>
    <t>Mantener seguimiento semestral.</t>
  </si>
  <si>
    <t>9.80 USD es menor a USD 500</t>
  </si>
  <si>
    <t>Encuestas anual al staff</t>
  </si>
  <si>
    <t>5.1</t>
  </si>
  <si>
    <t>Opinión sobre eficiencia</t>
  </si>
  <si>
    <t xml:space="preserve">EN PROCESO </t>
  </si>
  <si>
    <t>Hasta el momento va 1 de 5 Contamos con 4 convenios activos de los cuales 1 ofrece impacto a nivel matrículas con un 73% de la participación en matriculas de pregrado.</t>
  </si>
  <si>
    <t>% empleados capacitados</t>
  </si>
  <si>
    <t>(Capacitados/total)×100</t>
  </si>
  <si>
    <t>Reporte anual de la ejecución del Plan de Capacitación RRHH</t>
  </si>
  <si>
    <t>5.2</t>
  </si>
  <si>
    <t>Eficiencia de atención de Cobranzas</t>
  </si>
  <si>
    <t>(Resueltos al 1er contacto/total)×100</t>
  </si>
  <si>
    <t>Zoho Desk</t>
  </si>
  <si>
    <t>Incluirlo en la encuesta del proximo semestre</t>
  </si>
  <si>
    <t>5.3</t>
  </si>
  <si>
    <t>Rapidez de atención</t>
  </si>
  <si>
    <t>Horas o días promedio</t>
  </si>
  <si>
    <t>Permanencia del staff</t>
  </si>
  <si>
    <t>((Total inicial-retiros)/Total Inicial)×100</t>
  </si>
  <si>
    <t xml:space="preserve"> </t>
  </si>
  <si>
    <t>5.4</t>
  </si>
  <si>
    <t>Opinión sobre servicios de apoyo</t>
  </si>
  <si>
    <t>Proveer, mediante tecnología y plataformas educativas vigentes, una experiencia de aprendizaje moderna.</t>
  </si>
  <si>
    <t>Opinión consolidada sobre la usabilidad, fiabilidad y experiencia general del entorno de aprendizaje y servicios estudiantiles.</t>
  </si>
  <si>
    <t>El resultado es de 0</t>
  </si>
  <si>
    <t xml:space="preserve">Si no se presentan buenos resultados, sacar el indicador </t>
  </si>
  <si>
    <t>5.6</t>
  </si>
  <si>
    <t>Confianza del usuario (estudiante/docente) en la protección de sus datos personales y académicos.</t>
  </si>
  <si>
    <t>Encuesta anual</t>
  </si>
  <si>
    <t>Opinión sobre la incorporación de nuevas herramientas y la modernización de las plataformas existentes.</t>
  </si>
  <si>
    <t>Encuesta</t>
  </si>
  <si>
    <t xml:space="preserve">El resultado es de 4, está muy por debajo de 20 que es la meta </t>
  </si>
  <si>
    <t>Encuesta específica en LMS</t>
  </si>
  <si>
    <t>se ha incorporado una ejecutiva de convenios</t>
  </si>
  <si>
    <t>5.7</t>
  </si>
  <si>
    <t>Continuidad del servicio para plataformas clave (LMS, SIS).</t>
  </si>
  <si>
    <t>(Horas activas / Horas totales) x 100</t>
  </si>
  <si>
    <t>Reportes TI</t>
  </si>
  <si>
    <t>Número de procesos académicos o administrativos clave automatizados anualmente.</t>
  </si>
  <si>
    <t>5.8</t>
  </si>
  <si>
    <t>Inserción laboral graduados</t>
  </si>
  <si>
    <t>% de docentes y personal que completan la capacitación anual obligatoria en EdTech y ciberseguridad.</t>
  </si>
  <si>
    <t>NO CUMPLE</t>
  </si>
  <si>
    <t>(Capacitados / total) x 100</t>
  </si>
  <si>
    <t xml:space="preserve">El resultado es del 72% siendo menor a la meta del 85 % </t>
  </si>
  <si>
    <t xml:space="preserve">Se contrato un ejecutivo de seguimiento al egresado </t>
  </si>
  <si>
    <t>Falta el dato del mes de abril para realizar una evaluacion</t>
  </si>
  <si>
    <t>(Gasto total / N° estudiantes)</t>
  </si>
  <si>
    <t>Finanzas</t>
  </si>
  <si>
    <t>Registrar avance preliminar o pendiente de cierre</t>
  </si>
  <si>
    <t>5.9</t>
  </si>
  <si>
    <t>Analizar cierre semestral disponible</t>
  </si>
  <si>
    <t>Analizar cierre semestral y resultado anual</t>
  </si>
  <si>
    <t>Visibilidad Académica</t>
  </si>
  <si>
    <t>≥12</t>
  </si>
  <si>
    <t>Ofrecer oportunidades a estudiantes, alumni, profesorado y staff mediante colaboración local, regional y global con empresas y entidades educativas.</t>
  </si>
  <si>
    <t>Rúbrica (1–5)</t>
  </si>
  <si>
    <t>Informe convenios</t>
  </si>
  <si>
    <t>5.10</t>
  </si>
  <si>
    <t>Opinión de aliados estratégicos</t>
  </si>
  <si>
    <t>Encuesta a aliados</t>
  </si>
  <si>
    <t>6.1</t>
  </si>
  <si>
    <t>Comparativo anual</t>
  </si>
  <si>
    <t>Rankings</t>
  </si>
  <si>
    <t>6.2</t>
  </si>
  <si>
    <t>Registros convenios</t>
  </si>
  <si>
    <t>Estudiantes en programas de intercambio</t>
  </si>
  <si>
    <t>Registro movilidad</t>
  </si>
  <si>
    <t>6.3</t>
  </si>
  <si>
    <t>(Graduados empleados/total)×100</t>
  </si>
  <si>
    <t>Encuesta egresados</t>
  </si>
  <si>
    <t>6.4</t>
  </si>
  <si>
    <t>Número de participaciones</t>
  </si>
  <si>
    <t>Foros/seminarios internacionales</t>
  </si>
  <si>
    <t>6.5</t>
  </si>
  <si>
    <t>Nº membresías activas</t>
  </si>
  <si>
    <t>Conteo</t>
  </si>
  <si>
    <t>Licenciamiento y Acreditación</t>
  </si>
  <si>
    <t>Alimentar una cultura universitaria que represente la identidad de BGU, reconocida por principios éticos, pertenencia, inclusión y compromiso con la comunidad.</t>
  </si>
  <si>
    <t>Desarrollo de competencias éticas y globales</t>
  </si>
  <si>
    <t>Encuesta + rúbrica</t>
  </si>
  <si>
    <t>6.6</t>
  </si>
  <si>
    <t>Encuesta anual de satisfacción estudiantil</t>
  </si>
  <si>
    <t>Opinión sobre inclusión</t>
  </si>
  <si>
    <t>6.7</t>
  </si>
  <si>
    <t>Opinión sobre actividades</t>
  </si>
  <si>
    <t>6.8</t>
  </si>
  <si>
    <t>Percepción sobre ética</t>
  </si>
  <si>
    <t>6.10</t>
  </si>
  <si>
    <t>Grado de identificación con BGU</t>
  </si>
  <si>
    <t>Encuesta (Likert)</t>
  </si>
  <si>
    <t>7.1</t>
  </si>
  <si>
    <t>% estudiantes activos en actividades</t>
  </si>
  <si>
    <t>(Participantes/total)×100</t>
  </si>
  <si>
    <t>Registro actividades</t>
  </si>
  <si>
    <t>7.2</t>
  </si>
  <si>
    <t>Actividades organizadas al año</t>
  </si>
  <si>
    <t>7.3</t>
  </si>
  <si>
    <t>Número de estudiantes voluntarios</t>
  </si>
  <si>
    <t>Voluntarios/total</t>
  </si>
  <si>
    <t>Opinión sobre vida universitaria</t>
  </si>
  <si>
    <t>Encuesta estudiantes</t>
  </si>
  <si>
    <t>7.5</t>
  </si>
  <si>
    <t>Búsqueda constante de alternativas de acceso y apoyo a estudiantes y alumni, basada en mérito académico y alineamiento con la cultura BGU.</t>
  </si>
  <si>
    <t>Opinión de becados</t>
  </si>
  <si>
    <t>Focus Group</t>
  </si>
  <si>
    <t>Resultados de entrevista</t>
  </si>
  <si>
    <t>Opinión sobre transparencia</t>
  </si>
  <si>
    <t>7.6</t>
  </si>
  <si>
    <t>Opinión sobre permanencia gracias a apoyo</t>
  </si>
  <si>
    <t>7.7</t>
  </si>
  <si>
    <t>Opinión sobre reglas de asignación</t>
  </si>
  <si>
    <t>Valor total en USD</t>
  </si>
  <si>
    <t>7.8</t>
  </si>
  <si>
    <t>Total anual</t>
  </si>
  <si>
    <t>Total recaudado</t>
  </si>
  <si>
    <t>7.9</t>
  </si>
  <si>
    <t>Beneficiados con beca</t>
  </si>
  <si>
    <t>(Estudiantes con beca/total)×100</t>
  </si>
  <si>
    <t>Permanencia de estudiantes becados</t>
  </si>
  <si>
    <t>(Becados activos/total inicial)×100</t>
  </si>
  <si>
    <t>Registro becas</t>
  </si>
  <si>
    <t>7.10</t>
  </si>
  <si>
    <t>Éxito de estudiantes con apoyo</t>
  </si>
  <si>
    <t>(Graduados becados/total becados)×100</t>
  </si>
  <si>
    <t>Registro académico</t>
  </si>
  <si>
    <t>1. Valor del corte</t>
  </si>
  <si>
    <t>Aquí va el dato disponible al momento de diciembre.</t>
  </si>
  <si>
    <t>Ejemplos:</t>
  </si>
  <si>
    <t>si es mensual: el promedio acumulado o el último valor consolidado del periodo;</t>
  </si>
  <si>
    <t>si es semestral: avance preliminar o “sin cierre semestral aún”;</t>
  </si>
  <si>
    <t>si es anual: normalmente no va valor final, salvo que ya exista evidencia preliminar.</t>
  </si>
  <si>
    <t>Ejemplo:</t>
  </si>
  <si>
    <t>4.4 Uptime: LMS 99.99% / SIS 99.95%</t>
  </si>
  <si>
    <t>2.1 Evaluación Docente: 4.3/5</t>
  </si>
  <si>
    <t>2. Estado del dato</t>
  </si>
  <si>
    <t>Aquí dices en qué condición está el indicador al corte.</t>
  </si>
  <si>
    <t>Opciones útiles:</t>
  </si>
  <si>
    <t>Preliminar</t>
  </si>
  <si>
    <t>No aplica al corte</t>
  </si>
  <si>
    <t>mensual: Completo</t>
  </si>
  <si>
    <t>semestral: Preliminar</t>
  </si>
  <si>
    <t>anual: En levantamiento</t>
  </si>
  <si>
    <t>3. Juicio evaluativo</t>
  </si>
  <si>
    <t>Aquí emites la conclusión técnica del corte.</t>
  </si>
  <si>
    <t>Opciones recomendadas:</t>
  </si>
  <si>
    <t>Cumple parcialmente</t>
  </si>
  <si>
    <t>Pendiente de evaluación final</t>
  </si>
  <si>
    <t>Avance favorable</t>
  </si>
  <si>
    <t>4. Semáforo</t>
  </si>
  <si>
    <t>Aquí pones el color según el desempeño del indicador.</t>
  </si>
  <si>
    <t>Uso recomendado:</t>
  </si>
  <si>
    <t>Verde: cumple o avanza favorablemente</t>
  </si>
  <si>
    <t>Amarillo: cumplimiento parcial, riesgo o dato preliminar</t>
  </si>
  <si>
    <t>Rojo: no cumple o presenta desviación importante</t>
  </si>
  <si>
    <t>Gris: pendiente / en levantamiento</t>
  </si>
  <si>
    <t>Verde</t>
  </si>
  <si>
    <t>Amarillo</t>
  </si>
  <si>
    <t>Rojo</t>
  </si>
  <si>
    <t>Gris</t>
  </si>
  <si>
    <t>5. Análisis</t>
  </si>
  <si>
    <t>Aquí explicas qué significa el resultado.</t>
  </si>
  <si>
    <t>Modelo breve:</t>
  </si>
  <si>
    <t>Al corte C1-Diciembre, el indicador presenta un desempeño favorable respecto de la meta institucional, con datos completos del periodo septiembre-noviembre. Se observa tendencia estable y se mantiene seguimiento para el siguiente corte.</t>
  </si>
  <si>
    <t>Para anual:</t>
  </si>
  <si>
    <t>Por tratarse de un indicador de periodicidad anual, al corte C1-Diciembre no corresponde evaluación final. La evidencia se encuentra en proceso de levantamiento y validación por la división responsable.</t>
  </si>
  <si>
    <t>6. Acción / decisión</t>
  </si>
  <si>
    <t>Aquí pones qué hará la universidad con ese resultado.</t>
  </si>
  <si>
    <t>Reforzar monitoreo y solicitar reporte complementario.</t>
  </si>
  <si>
    <t>Implementar acción correctiva con la división responsable.</t>
  </si>
  <si>
    <t>Continuar levantamiento de evidencia para cierre anual.</t>
  </si>
  <si>
    <t>Solicitar plan de mejora.</t>
  </si>
  <si>
    <t>7. Fecha compromiso</t>
  </si>
  <si>
    <t>Aquí va la fecha límite para la acción que acabas de poner.</t>
  </si>
  <si>
    <t>Debe ser una fecha realista antes del siguiente corte o antes del cierre que corresponda.</t>
  </si>
  <si>
    <t>si la acción es corregir algo antes de abril: 15/02/2026 o 31/03/2026</t>
  </si>
  <si>
    <t>si es completar evidencia anual: 30/04/2026 o 15/08/2026</t>
  </si>
  <si>
    <t>Regla práctica para la fecha compromiso</t>
  </si>
  <si>
    <t>Ponla así:</t>
  </si>
  <si>
    <t>mensuales: 30 a 60 días después del corte</t>
  </si>
  <si>
    <t>semestrales: antes del siguiente corte</t>
  </si>
  <si>
    <t>anuales: fecha de levantamiento o consolidación, normalmente hacia abril o agosto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</si>
</sst>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mmmm/yyyy"/>
    <numFmt numFmtId="166" formatCode="mmmm / yyyy"/>
    <numFmt numFmtId="167" formatCode="dd/mm/yyyy"/>
    <numFmt numFmtId="168" formatCode="d/m"/>
  </numFmts>
  <fonts count="54">
    <font>
      <sz val="11.0"/>
      <color theme="1"/>
      <name val="Calibri"/>
      <scheme val="minor"/>
    </font>
    <font>
      <b/>
      <sz val="12.0"/>
      <color rgb="FF1F3A5F"/>
      <name val="Calibri"/>
    </font>
    <font>
      <b/>
      <sz val="16.0"/>
      <color rgb="FF1F3A5F"/>
      <name val="Calibri"/>
    </font>
    <font/>
    <font>
      <color theme="1"/>
      <name val="Calibri"/>
      <scheme val="minor"/>
    </font>
    <font>
      <sz val="10.0"/>
      <color rgb="FF1F2937"/>
      <name val="Calibri"/>
    </font>
    <font>
      <b/>
      <sz val="11.0"/>
      <color rgb="FF1F3A5F"/>
      <name val="Calibri"/>
    </font>
    <font>
      <b/>
      <sz val="10.0"/>
      <color rgb="FFFFFFFF"/>
      <name val="Calibri"/>
    </font>
    <font>
      <i/>
      <sz val="11.0"/>
      <color rgb="FF6B7280"/>
      <name val="Calibri"/>
    </font>
    <font>
      <sz val="9.0"/>
      <color rgb="FF6B7280"/>
      <name val="Calibri"/>
    </font>
    <font>
      <b/>
      <sz val="13.0"/>
      <color rgb="FFFFFFFF"/>
      <name val="Calibri"/>
      <scheme val="minor"/>
    </font>
    <font>
      <b/>
      <sz val="13.0"/>
      <color rgb="FFFFFFFF"/>
      <name val="Calibri"/>
    </font>
    <font>
      <b/>
      <sz val="12.0"/>
      <color rgb="FFFFFFFF"/>
      <name val="Calibri"/>
      <scheme val="minor"/>
    </font>
    <font>
      <b/>
      <sz val="10.0"/>
      <color rgb="FFFFFFFF"/>
      <name val="Arial"/>
    </font>
    <font>
      <b/>
      <u/>
      <sz val="13.0"/>
      <color rgb="FF000000"/>
      <name val="Calibri"/>
    </font>
    <font>
      <sz val="12.0"/>
      <color theme="1"/>
      <name val="Calibri"/>
      <scheme val="minor"/>
    </font>
    <font>
      <sz val="11.0"/>
      <color rgb="FF000000"/>
      <name val="Arial Narrow"/>
    </font>
    <font>
      <sz val="11.0"/>
      <color theme="1"/>
      <name val="Arial Narrow"/>
    </font>
    <font>
      <color rgb="FF000000"/>
      <name val="Calibri"/>
      <scheme val="minor"/>
    </font>
    <font>
      <u/>
      <sz val="10.0"/>
      <color theme="1"/>
      <name val="Arial"/>
    </font>
    <font>
      <u/>
      <color theme="1"/>
      <name val="Calibri"/>
      <scheme val="minor"/>
    </font>
    <font>
      <b/>
      <color rgb="FFFFFFFF"/>
      <name val="Arial"/>
    </font>
    <font>
      <u/>
      <sz val="11.0"/>
      <color theme="1"/>
      <name val="Arial Narrow"/>
    </font>
    <font>
      <u/>
      <sz val="10.0"/>
      <color theme="1"/>
      <name val="Arial"/>
    </font>
    <font>
      <b/>
      <sz val="8.0"/>
      <color rgb="FFFFFFFF"/>
      <name val="Arial"/>
    </font>
    <font>
      <sz val="8.0"/>
      <color theme="1"/>
      <name val="Arial"/>
    </font>
    <font>
      <sz val="8.0"/>
      <color rgb="FF000000"/>
      <name val="Arial"/>
    </font>
    <font>
      <u/>
      <sz val="11.0"/>
      <color rgb="FF0000FF"/>
      <name val="Arial Narrow"/>
    </font>
    <font>
      <u/>
      <sz val="11.0"/>
      <color rgb="FF0000FF"/>
      <name val="Arial Narrow"/>
    </font>
    <font>
      <b/>
      <sz val="8.0"/>
      <color rgb="FF000000"/>
      <name val="Arial"/>
    </font>
    <font>
      <u/>
      <color theme="1"/>
      <name val="Calibri"/>
      <scheme val="minor"/>
    </font>
    <font>
      <u/>
      <sz val="11.0"/>
      <color rgb="FF000000"/>
      <name val="Arial Narrow"/>
    </font>
    <font>
      <u/>
      <sz val="10.0"/>
      <color theme="1"/>
      <name val="Arial"/>
    </font>
    <font>
      <u/>
      <sz val="11.0"/>
      <color rgb="FF0000FF"/>
      <name val="Arial Narrow"/>
    </font>
    <font>
      <u/>
      <sz val="10.0"/>
      <color theme="1"/>
      <name val="Arial"/>
    </font>
    <font>
      <sz val="11.0"/>
      <color theme="1"/>
      <name val="Carlito"/>
    </font>
    <font>
      <u/>
      <sz val="10.0"/>
      <color theme="1"/>
      <name val="Arial"/>
    </font>
    <font>
      <u/>
      <sz val="11.0"/>
      <color theme="1"/>
      <name val="Arial Narrow"/>
    </font>
    <font>
      <u/>
      <color rgb="FF0000FF"/>
    </font>
    <font>
      <u/>
      <sz val="11.0"/>
      <color theme="1"/>
      <name val="Calibri"/>
      <scheme val="minor"/>
    </font>
    <font>
      <color rgb="FF1F2937"/>
      <name val="Calibri"/>
    </font>
    <font>
      <color theme="1"/>
      <name val="Calibri"/>
    </font>
    <font>
      <u/>
      <sz val="11.0"/>
      <color theme="1"/>
      <name val="Calibri"/>
      <scheme val="minor"/>
    </font>
    <font>
      <sz val="10.0"/>
      <color theme="1"/>
      <name val="Arial"/>
    </font>
    <font>
      <u/>
      <color rgb="FF0000FF"/>
    </font>
    <font>
      <u/>
      <sz val="11.0"/>
      <color rgb="FF467886"/>
      <name val="Carlito"/>
    </font>
    <font>
      <u/>
      <color theme="1"/>
      <name val="Calibri"/>
      <scheme val="minor"/>
    </font>
    <font>
      <u/>
      <color rgb="FF0000FF"/>
    </font>
    <font>
      <u/>
      <sz val="10.0"/>
      <color rgb="FF1F2937"/>
      <name val="Calibri"/>
    </font>
    <font>
      <u/>
      <sz val="11.0"/>
      <color rgb="FF0000FF"/>
      <name val="Arial Narrow"/>
    </font>
    <font>
      <u/>
      <color theme="1"/>
      <name val="Calibri"/>
      <scheme val="minor"/>
    </font>
    <font>
      <u/>
      <sz val="11.0"/>
      <color rgb="FF0000FF"/>
    </font>
    <font>
      <b/>
      <sz val="14.0"/>
      <color theme="1"/>
      <name val="Calibri"/>
      <scheme val="minor"/>
    </font>
    <font>
      <b/>
      <sz val="18.0"/>
      <color theme="1"/>
      <name val="Calibri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DCEFF2"/>
        <bgColor rgb="FFDCEFF2"/>
      </patternFill>
    </fill>
    <fill>
      <patternFill patternType="solid">
        <fgColor rgb="FFF4F7FB"/>
        <bgColor rgb="FFF4F7FB"/>
      </patternFill>
    </fill>
    <fill>
      <patternFill patternType="solid">
        <fgColor rgb="FF1F3A5F"/>
        <bgColor rgb="FF1F3A5F"/>
      </patternFill>
    </fill>
    <fill>
      <patternFill patternType="solid">
        <fgColor rgb="FF2A7F8E"/>
        <bgColor rgb="FF2A7F8E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D1FAE5"/>
        <bgColor rgb="FFD1FAE5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C5FFD0"/>
        <bgColor rgb="FFC5FFD0"/>
      </patternFill>
    </fill>
    <fill>
      <patternFill patternType="solid">
        <fgColor rgb="FFFAFCFE"/>
        <bgColor rgb="FFFAFCFE"/>
      </patternFill>
    </fill>
    <fill>
      <patternFill patternType="solid">
        <fgColor rgb="FFFFFF00"/>
        <bgColor rgb="FFFFFF00"/>
      </patternFill>
    </fill>
    <fill>
      <patternFill patternType="solid">
        <fgColor rgb="FF274E13"/>
        <bgColor rgb="FF274E13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AEEF3"/>
        <bgColor rgb="FFDAEEF3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</border>
    <border>
      <right style="thin">
        <color rgb="FFE5E7EB"/>
      </right>
      <top style="thin">
        <color rgb="FFE5E7EB"/>
      </top>
    </border>
    <border>
      <left style="thin">
        <color rgb="FFE5E7EB"/>
      </left>
      <bottom style="thin">
        <color rgb="FFE5E7EB"/>
      </bottom>
    </border>
    <border>
      <right style="thin">
        <color rgb="FFE5E7EB"/>
      </right>
      <bottom style="thin">
        <color rgb="FFE5E7E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Border="1" applyFont="1"/>
    <xf borderId="0" fillId="0" fontId="4" numFmtId="0" xfId="0" applyFont="1"/>
    <xf borderId="0" fillId="0" fontId="1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4" fontId="7" numFmtId="0" xfId="0" applyAlignment="1" applyBorder="1" applyFill="1" applyFont="1">
      <alignment horizontal="center"/>
    </xf>
    <xf borderId="5" fillId="4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shrinkToFit="0" vertical="top" wrapText="1"/>
    </xf>
    <xf borderId="5" fillId="0" fontId="5" numFmtId="0" xfId="0" applyAlignment="1" applyBorder="1" applyFont="1">
      <alignment shrinkToFit="0" vertical="top" wrapText="1"/>
    </xf>
    <xf borderId="5" fillId="6" fontId="5" numFmtId="0" xfId="0" applyAlignment="1" applyBorder="1" applyFill="1" applyFont="1">
      <alignment shrinkToFit="0" vertical="top" wrapText="1"/>
    </xf>
    <xf borderId="5" fillId="7" fontId="5" numFmtId="0" xfId="0" applyAlignment="1" applyBorder="1" applyFill="1" applyFont="1">
      <alignment shrinkToFit="0" vertical="top" wrapText="1"/>
    </xf>
    <xf borderId="5" fillId="8" fontId="5" numFmtId="0" xfId="0" applyAlignment="1" applyBorder="1" applyFill="1" applyFont="1">
      <alignment shrinkToFit="0" vertical="top" wrapText="1"/>
    </xf>
    <xf borderId="0" fillId="0" fontId="8" numFmtId="0" xfId="0" applyFont="1"/>
    <xf borderId="1" fillId="2" fontId="6" numFmtId="0" xfId="0" applyBorder="1" applyFont="1"/>
    <xf borderId="6" fillId="7" fontId="9" numFmtId="0" xfId="0" applyAlignment="1" applyBorder="1" applyFont="1">
      <alignment horizontal="center"/>
    </xf>
    <xf borderId="7" fillId="0" fontId="3" numFmtId="0" xfId="0" applyBorder="1" applyFont="1"/>
    <xf borderId="8" fillId="6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5" fillId="5" fontId="7" numFmtId="0" xfId="0" applyAlignment="1" applyBorder="1" applyFont="1">
      <alignment horizontal="center" shrinkToFit="0" vertical="center" wrapText="1"/>
    </xf>
    <xf borderId="0" fillId="9" fontId="10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10" fontId="11" numFmtId="0" xfId="0" applyAlignment="1" applyFill="1" applyFont="1">
      <alignment horizontal="center" readingOrder="0" shrinkToFit="0" vertical="center" wrapText="1"/>
    </xf>
    <xf borderId="12" fillId="9" fontId="12" numFmtId="0" xfId="0" applyAlignment="1" applyBorder="1" applyFont="1">
      <alignment horizontal="center" readingOrder="0" shrinkToFit="0" vertical="center" wrapText="1"/>
    </xf>
    <xf borderId="12" fillId="9" fontId="13" numFmtId="0" xfId="0" applyAlignment="1" applyBorder="1" applyFont="1">
      <alignment horizontal="left" readingOrder="0" shrinkToFit="0" vertical="center" wrapText="1"/>
    </xf>
    <xf borderId="0" fillId="1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1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3" fillId="11" fontId="4" numFmtId="0" xfId="0" applyAlignment="1" applyBorder="1" applyFill="1" applyFont="1">
      <alignment readingOrder="0" shrinkToFit="0" vertical="center" wrapText="1"/>
    </xf>
    <xf borderId="14" fillId="10" fontId="11" numFmtId="0" xfId="0" applyAlignment="1" applyBorder="1" applyFont="1">
      <alignment horizontal="center" shrinkToFit="0" vertical="center" wrapText="1"/>
    </xf>
    <xf borderId="14" fillId="10" fontId="11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12" fillId="11" fontId="4" numFmtId="0" xfId="0" applyAlignment="1" applyBorder="1" applyFont="1">
      <alignment readingOrder="0" shrinkToFit="0" vertical="center" wrapText="1"/>
    </xf>
    <xf borderId="12" fillId="12" fontId="16" numFmtId="164" xfId="0" applyAlignment="1" applyBorder="1" applyFill="1" applyFont="1" applyNumberFormat="1">
      <alignment horizontal="center" readingOrder="0" shrinkToFit="0" vertical="center" wrapText="1"/>
    </xf>
    <xf borderId="12" fillId="13" fontId="4" numFmtId="0" xfId="0" applyAlignment="1" applyBorder="1" applyFill="1" applyFont="1">
      <alignment horizontal="center" readingOrder="0" shrinkToFit="0" vertical="center" wrapText="1"/>
    </xf>
    <xf borderId="12" fillId="12" fontId="17" numFmtId="0" xfId="0" applyAlignment="1" applyBorder="1" applyFont="1">
      <alignment horizontal="center" readingOrder="0" shrinkToFit="0" vertical="center" wrapText="1"/>
    </xf>
    <xf borderId="12" fillId="12" fontId="16" numFmtId="0" xfId="0" applyAlignment="1" applyBorder="1" applyFont="1">
      <alignment horizontal="center" readingOrder="0" shrinkToFit="0" vertical="center" wrapText="1"/>
    </xf>
    <xf borderId="5" fillId="14" fontId="5" numFmtId="0" xfId="0" applyAlignment="1" applyBorder="1" applyFill="1" applyFont="1">
      <alignment shrinkToFit="0" vertical="top" wrapText="1"/>
    </xf>
    <xf borderId="12" fillId="12" fontId="17" numFmtId="0" xfId="0" applyAlignment="1" applyBorder="1" applyFont="1">
      <alignment horizontal="center" shrinkToFit="0" vertical="center" wrapText="1"/>
    </xf>
    <xf borderId="12" fillId="12" fontId="18" numFmtId="0" xfId="0" applyAlignment="1" applyBorder="1" applyFont="1">
      <alignment vertical="center"/>
    </xf>
    <xf borderId="12" fillId="0" fontId="4" numFmtId="10" xfId="0" applyAlignment="1" applyBorder="1" applyFont="1" applyNumberFormat="1">
      <alignment horizontal="center" shrinkToFit="0" vertical="center" wrapText="1"/>
    </xf>
    <xf borderId="12" fillId="0" fontId="19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shrinkToFit="0" vertical="center" wrapText="1"/>
    </xf>
    <xf borderId="15" fillId="0" fontId="3" numFmtId="0" xfId="0" applyBorder="1" applyFont="1"/>
    <xf borderId="12" fillId="0" fontId="4" numFmtId="9" xfId="0" applyAlignment="1" applyBorder="1" applyFont="1" applyNumberFormat="1">
      <alignment horizontal="center"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2" fillId="15" fontId="16" numFmtId="0" xfId="0" applyAlignment="1" applyBorder="1" applyFill="1" applyFont="1">
      <alignment horizontal="center" readingOrder="0" shrinkToFit="0" vertical="center" wrapText="1"/>
    </xf>
    <xf borderId="12" fillId="4" fontId="13" numFmtId="0" xfId="0" applyAlignment="1" applyBorder="1" applyFont="1">
      <alignment horizontal="center" readingOrder="0" shrinkToFit="0" vertical="center" wrapText="1"/>
    </xf>
    <xf borderId="0" fillId="4" fontId="21" numFmtId="0" xfId="0" applyAlignment="1" applyFont="1">
      <alignment horizontal="center" readingOrder="0" shrinkToFit="0" vertical="center" wrapText="1"/>
    </xf>
    <xf borderId="12" fillId="6" fontId="17" numFmtId="10" xfId="0" applyAlignment="1" applyBorder="1" applyFont="1" applyNumberFormat="1">
      <alignment horizontal="center" readingOrder="0" shrinkToFit="0" vertical="center" wrapText="1"/>
    </xf>
    <xf borderId="12" fillId="12" fontId="22" numFmtId="0" xfId="0" applyAlignment="1" applyBorder="1" applyFont="1">
      <alignment horizontal="center" readingOrder="0" shrinkToFit="0" vertical="center" wrapText="1"/>
    </xf>
    <xf borderId="12" fillId="12" fontId="18" numFmtId="0" xfId="0" applyAlignment="1" applyBorder="1" applyFont="1">
      <alignment readingOrder="0" vertical="center"/>
    </xf>
    <xf borderId="12" fillId="0" fontId="23" numFmtId="0" xfId="0" applyAlignment="1" applyBorder="1" applyFont="1">
      <alignment horizontal="left" readingOrder="0" shrinkToFit="0" vertical="center" wrapText="1"/>
    </xf>
    <xf borderId="12" fillId="16" fontId="24" numFmtId="0" xfId="0" applyAlignment="1" applyBorder="1" applyFill="1" applyFont="1">
      <alignment horizontal="center" readingOrder="0" shrinkToFit="0" vertical="center" wrapText="1"/>
    </xf>
    <xf borderId="12" fillId="0" fontId="25" numFmtId="0" xfId="0" applyAlignment="1" applyBorder="1" applyFont="1">
      <alignment horizontal="center" shrinkToFit="0" vertical="center" wrapText="1"/>
    </xf>
    <xf borderId="12" fillId="0" fontId="26" numFmtId="0" xfId="0" applyAlignment="1" applyBorder="1" applyFont="1">
      <alignment horizontal="center" readingOrder="0" shrinkToFit="0" vertical="center" wrapText="1"/>
    </xf>
    <xf borderId="12" fillId="12" fontId="27" numFmtId="0" xfId="0" applyAlignment="1" applyBorder="1" applyFont="1">
      <alignment horizontal="center" readingOrder="0" shrinkToFit="0" vertical="center" wrapText="1"/>
    </xf>
    <xf borderId="12" fillId="12" fontId="18" numFmtId="0" xfId="0" applyAlignment="1" applyBorder="1" applyFont="1">
      <alignment shrinkToFit="0" vertical="center" wrapText="1"/>
    </xf>
    <xf borderId="12" fillId="0" fontId="25" numFmtId="0" xfId="0" applyAlignment="1" applyBorder="1" applyFont="1">
      <alignment horizontal="center" shrinkToFit="0" vertical="center" wrapText="1"/>
    </xf>
    <xf borderId="5" fillId="10" fontId="7" numFmtId="0" xfId="0" applyAlignment="1" applyBorder="1" applyFont="1">
      <alignment horizontal="center" shrinkToFit="0" vertical="center" wrapText="1"/>
    </xf>
    <xf borderId="12" fillId="12" fontId="28" numFmtId="0" xfId="0" applyAlignment="1" applyBorder="1" applyFont="1">
      <alignment horizontal="center" readingOrder="0" shrinkToFit="0" vertical="center" wrapText="1"/>
    </xf>
    <xf borderId="12" fillId="12" fontId="18" numFmtId="0" xfId="0" applyAlignment="1" applyBorder="1" applyFont="1">
      <alignment readingOrder="0" shrinkToFit="0" vertical="center" wrapText="1"/>
    </xf>
    <xf borderId="12" fillId="17" fontId="29" numFmtId="0" xfId="0" applyAlignment="1" applyBorder="1" applyFill="1" applyFont="1">
      <alignment horizontal="center" readingOrder="0" shrinkToFit="0" vertical="center" wrapText="1"/>
    </xf>
    <xf borderId="5" fillId="6" fontId="5" numFmtId="0" xfId="0" applyAlignment="1" applyBorder="1" applyFont="1">
      <alignment horizontal="right" readingOrder="0" shrinkToFit="0" vertical="center" wrapText="1"/>
    </xf>
    <xf borderId="5" fillId="6" fontId="5" numFmtId="0" xfId="0" applyAlignment="1" applyBorder="1" applyFont="1">
      <alignment readingOrder="0" shrinkToFit="0" vertical="center" wrapText="1"/>
    </xf>
    <xf borderId="5" fillId="6" fontId="5" numFmtId="164" xfId="0" applyAlignment="1" applyBorder="1" applyFont="1" applyNumberFormat="1">
      <alignment readingOrder="0" shrinkToFit="0" vertical="center" wrapText="1"/>
    </xf>
    <xf borderId="5" fillId="14" fontId="5" numFmtId="0" xfId="0" applyAlignment="1" applyBorder="1" applyFont="1">
      <alignment readingOrder="0" shrinkToFit="0" vertical="center" wrapText="1"/>
    </xf>
    <xf borderId="5" fillId="14" fontId="5" numFmtId="0" xfId="0" applyAlignment="1" applyBorder="1" applyFont="1">
      <alignment horizontal="center" readingOrder="0" shrinkToFit="0" vertical="center" wrapText="1"/>
    </xf>
    <xf borderId="12" fillId="0" fontId="30" numFmtId="0" xfId="0" applyAlignment="1" applyBorder="1" applyFont="1">
      <alignment horizontal="left" readingOrder="0" shrinkToFit="0" vertical="center" wrapText="1"/>
    </xf>
    <xf borderId="5" fillId="18" fontId="5" numFmtId="0" xfId="0" applyAlignment="1" applyBorder="1" applyFill="1" applyFont="1">
      <alignment readingOrder="0" shrinkToFit="0" vertical="center" wrapText="1"/>
    </xf>
    <xf borderId="5" fillId="6" fontId="5" numFmtId="165" xfId="0" applyAlignment="1" applyBorder="1" applyFont="1" applyNumberFormat="1">
      <alignment readingOrder="0" shrinkToFit="0" vertical="center" wrapText="1"/>
    </xf>
    <xf borderId="12" fillId="19" fontId="29" numFmtId="0" xfId="0" applyAlignment="1" applyBorder="1" applyFill="1" applyFont="1">
      <alignment horizontal="center" readingOrder="0" shrinkToFit="0" vertical="center" wrapText="1"/>
    </xf>
    <xf borderId="16" fillId="0" fontId="3" numFmtId="0" xfId="0" applyBorder="1" applyFont="1"/>
    <xf borderId="12" fillId="18" fontId="16" numFmtId="0" xfId="0" applyAlignment="1" applyBorder="1" applyFont="1">
      <alignment horizontal="center" readingOrder="0" shrinkToFit="0" vertical="center" wrapText="1"/>
    </xf>
    <xf borderId="12" fillId="12" fontId="18" numFmtId="0" xfId="0" applyAlignment="1" applyBorder="1" applyFont="1">
      <alignment horizontal="center" readingOrder="0" vertical="center"/>
    </xf>
    <xf borderId="12" fillId="20" fontId="26" numFmtId="0" xfId="0" applyAlignment="1" applyBorder="1" applyFill="1" applyFont="1">
      <alignment horizontal="center" readingOrder="0" shrinkToFit="0" vertical="center" wrapText="1"/>
    </xf>
    <xf borderId="12" fillId="12" fontId="16" numFmtId="0" xfId="0" applyAlignment="1" applyBorder="1" applyFont="1">
      <alignment readingOrder="0" shrinkToFit="0" vertical="center" wrapText="1"/>
    </xf>
    <xf borderId="12" fillId="12" fontId="17" numFmtId="0" xfId="0" applyAlignment="1" applyBorder="1" applyFont="1">
      <alignment horizontal="center" readingOrder="0" shrinkToFit="0" vertical="center" wrapText="1"/>
    </xf>
    <xf borderId="12" fillId="12" fontId="16" numFmtId="0" xfId="0" applyAlignment="1" applyBorder="1" applyFont="1">
      <alignment shrinkToFit="0" vertical="center" wrapText="1"/>
    </xf>
    <xf borderId="12" fillId="15" fontId="17" numFmtId="0" xfId="0" applyAlignment="1" applyBorder="1" applyFont="1">
      <alignment horizontal="center" readingOrder="0" shrinkToFit="0" vertical="center" wrapText="1"/>
    </xf>
    <xf borderId="12" fillId="6" fontId="17" numFmtId="0" xfId="0" applyAlignment="1" applyBorder="1" applyFont="1">
      <alignment horizontal="center" readingOrder="0" vertical="center"/>
    </xf>
    <xf borderId="12" fillId="12" fontId="31" numFmtId="0" xfId="0" applyAlignment="1" applyBorder="1" applyFont="1">
      <alignment readingOrder="0" shrinkToFit="0" vertical="center" wrapText="1"/>
    </xf>
    <xf borderId="12" fillId="6" fontId="32" numFmtId="0" xfId="0" applyAlignment="1" applyBorder="1" applyFont="1">
      <alignment horizontal="left" vertical="center"/>
    </xf>
    <xf borderId="5" fillId="6" fontId="5" numFmtId="166" xfId="0" applyAlignment="1" applyBorder="1" applyFont="1" applyNumberFormat="1">
      <alignment readingOrder="0" shrinkToFit="0" vertical="center" wrapText="1"/>
    </xf>
    <xf borderId="12" fillId="21" fontId="24" numFmtId="0" xfId="0" applyAlignment="1" applyBorder="1" applyFill="1" applyFont="1">
      <alignment horizontal="center" readingOrder="0" shrinkToFit="0" vertical="center" wrapText="1"/>
    </xf>
    <xf borderId="12" fillId="6" fontId="33" numFmtId="0" xfId="0" applyAlignment="1" applyBorder="1" applyFont="1">
      <alignment horizontal="center" readingOrder="0" shrinkToFit="0" vertical="center" wrapText="1"/>
    </xf>
    <xf borderId="5" fillId="6" fontId="5" numFmtId="0" xfId="0" applyAlignment="1" applyBorder="1" applyFont="1">
      <alignment horizontal="center" readingOrder="0" shrinkToFit="0" vertical="center" wrapText="1"/>
    </xf>
    <xf borderId="12" fillId="0" fontId="17" numFmtId="9" xfId="0" applyAlignment="1" applyBorder="1" applyFont="1" applyNumberFormat="1">
      <alignment horizontal="center" readingOrder="0" vertical="center"/>
    </xf>
    <xf borderId="12" fillId="0" fontId="34" numFmtId="0" xfId="0" applyAlignment="1" applyBorder="1" applyFont="1">
      <alignment horizontal="left" readingOrder="0" vertical="center"/>
    </xf>
    <xf borderId="5" fillId="14" fontId="5" numFmtId="0" xfId="0" applyAlignment="1" applyBorder="1" applyFont="1">
      <alignment horizontal="left" readingOrder="0" shrinkToFit="0" vertical="center" wrapText="1"/>
    </xf>
    <xf borderId="5" fillId="14" fontId="5" numFmtId="164" xfId="0" applyAlignment="1" applyBorder="1" applyFont="1" applyNumberFormat="1">
      <alignment readingOrder="0" shrinkToFit="0" vertical="center" wrapText="1"/>
    </xf>
    <xf borderId="12" fillId="0" fontId="17" numFmtId="9" xfId="0" applyAlignment="1" applyBorder="1" applyFont="1" applyNumberFormat="1">
      <alignment horizontal="center" vertical="center"/>
    </xf>
    <xf borderId="12" fillId="22" fontId="35" numFmtId="0" xfId="0" applyAlignment="1" applyBorder="1" applyFill="1" applyFont="1">
      <alignment shrinkToFit="0" vertical="center" wrapText="1"/>
    </xf>
    <xf borderId="12" fillId="0" fontId="35" numFmtId="0" xfId="0" applyAlignment="1" applyBorder="1" applyFont="1">
      <alignment readingOrder="0" shrinkToFit="0" vertical="center" wrapText="1"/>
    </xf>
    <xf borderId="12" fillId="0" fontId="17" numFmtId="0" xfId="0" applyAlignment="1" applyBorder="1" applyFont="1">
      <alignment horizontal="center" readingOrder="0" vertical="center"/>
    </xf>
    <xf borderId="12" fillId="12" fontId="17" numFmtId="10" xfId="0" applyAlignment="1" applyBorder="1" applyFont="1" applyNumberFormat="1">
      <alignment horizontal="center" readingOrder="0" shrinkToFit="0" vertical="center" wrapText="1"/>
    </xf>
    <xf borderId="12" fillId="0" fontId="36" numFmtId="0" xfId="0" applyAlignment="1" applyBorder="1" applyFont="1">
      <alignment horizontal="left" vertical="center"/>
    </xf>
    <xf borderId="5" fillId="6" fontId="5" numFmtId="9" xfId="0" applyAlignment="1" applyBorder="1" applyFont="1" applyNumberFormat="1">
      <alignment readingOrder="0" shrinkToFit="0" vertical="center" wrapText="1"/>
    </xf>
    <xf borderId="5" fillId="23" fontId="5" numFmtId="0" xfId="0" applyAlignment="1" applyBorder="1" applyFill="1" applyFont="1">
      <alignment readingOrder="0" shrinkToFit="0" vertical="center" wrapText="1"/>
    </xf>
    <xf borderId="5" fillId="22" fontId="5" numFmtId="0" xfId="0" applyAlignment="1" applyBorder="1" applyFont="1">
      <alignment readingOrder="0" shrinkToFit="0" vertical="center" wrapText="1"/>
    </xf>
    <xf borderId="5" fillId="15" fontId="5" numFmtId="0" xfId="0" applyAlignment="1" applyBorder="1" applyFont="1">
      <alignment readingOrder="0" shrinkToFit="0" vertical="center" wrapText="1"/>
    </xf>
    <xf borderId="12" fillId="12" fontId="37" numFmtId="0" xfId="0" applyAlignment="1" applyBorder="1" applyFont="1">
      <alignment horizontal="center" readingOrder="0" shrinkToFit="0" vertical="center" wrapText="1"/>
    </xf>
    <xf borderId="12" fillId="0" fontId="38" numFmtId="0" xfId="0" applyAlignment="1" applyBorder="1" applyFont="1">
      <alignment horizontal="left" readingOrder="0" shrinkToFit="0" vertical="center" wrapText="1"/>
    </xf>
    <xf borderId="12" fillId="0" fontId="4" numFmtId="10" xfId="0" applyAlignment="1" applyBorder="1" applyFont="1" applyNumberFormat="1">
      <alignment horizontal="center" readingOrder="0" shrinkToFit="0" vertical="center" wrapText="1"/>
    </xf>
    <xf borderId="12" fillId="0" fontId="39" numFmtId="0" xfId="0" applyAlignment="1" applyBorder="1" applyFont="1">
      <alignment horizontal="left" readingOrder="0" shrinkToFit="0" vertical="center" wrapText="1"/>
    </xf>
    <xf borderId="5" fillId="24" fontId="40" numFmtId="0" xfId="0" applyAlignment="1" applyBorder="1" applyFill="1" applyFont="1">
      <alignment horizontal="center" shrinkToFit="0" vertical="center" wrapText="1"/>
    </xf>
    <xf borderId="5" fillId="0" fontId="41" numFmtId="0" xfId="0" applyAlignment="1" applyBorder="1" applyFont="1">
      <alignment shrinkToFit="0" vertical="center" wrapText="1"/>
    </xf>
    <xf borderId="5" fillId="24" fontId="40" numFmtId="0" xfId="0" applyAlignment="1" applyBorder="1" applyFont="1">
      <alignment shrinkToFit="0" vertical="center" wrapText="1"/>
    </xf>
    <xf borderId="5" fillId="24" fontId="40" numFmtId="164" xfId="0" applyAlignment="1" applyBorder="1" applyFont="1" applyNumberFormat="1">
      <alignment horizontal="right" shrinkToFit="0" vertical="center" wrapText="1"/>
    </xf>
    <xf borderId="5" fillId="0" fontId="41" numFmtId="0" xfId="0" applyAlignment="1" applyBorder="1" applyFont="1">
      <alignment horizontal="center" shrinkToFit="0" vertical="center" wrapText="1"/>
    </xf>
    <xf borderId="0" fillId="0" fontId="9" numFmtId="0" xfId="0" applyFont="1"/>
    <xf borderId="12" fillId="12" fontId="42" numFmtId="0" xfId="0" applyAlignment="1" applyBorder="1" applyFont="1">
      <alignment horizontal="left" readingOrder="0" shrinkToFit="0" vertical="center" wrapText="1"/>
    </xf>
    <xf borderId="5" fillId="24" fontId="40" numFmtId="0" xfId="0" applyAlignment="1" applyBorder="1" applyFont="1">
      <alignment horizontal="center" readingOrder="0" shrinkToFit="0" vertical="center" wrapText="1"/>
    </xf>
    <xf borderId="14" fillId="4" fontId="7" numFmtId="0" xfId="0" applyAlignment="1" applyBorder="1" applyFont="1">
      <alignment horizontal="center" shrinkToFit="0" vertical="center" wrapText="1"/>
    </xf>
    <xf borderId="2" fillId="25" fontId="7" numFmtId="0" xfId="0" applyAlignment="1" applyBorder="1" applyFill="1" applyFont="1">
      <alignment horizontal="center" vertical="center"/>
    </xf>
    <xf borderId="2" fillId="5" fontId="7" numFmtId="0" xfId="0" applyAlignment="1" applyBorder="1" applyFont="1">
      <alignment horizontal="center" vertical="center"/>
    </xf>
    <xf borderId="2" fillId="26" fontId="7" numFmtId="0" xfId="0" applyAlignment="1" applyBorder="1" applyFill="1" applyFont="1">
      <alignment horizontal="center" vertical="center"/>
    </xf>
    <xf borderId="17" fillId="0" fontId="3" numFmtId="0" xfId="0" applyBorder="1" applyFont="1"/>
    <xf borderId="12" fillId="6" fontId="16" numFmtId="0" xfId="0" applyAlignment="1" applyBorder="1" applyFont="1">
      <alignment horizontal="center" readingOrder="0" shrinkToFit="0" vertical="center" wrapText="1"/>
    </xf>
    <xf borderId="5" fillId="25" fontId="7" numFmtId="0" xfId="0" applyAlignment="1" applyBorder="1" applyFont="1">
      <alignment horizontal="center" shrinkToFit="0" vertical="center" wrapText="1"/>
    </xf>
    <xf borderId="5" fillId="26" fontId="7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shrinkToFit="0" vertical="center" wrapText="1"/>
    </xf>
    <xf borderId="12" fillId="0" fontId="43" numFmtId="0" xfId="0" applyAlignment="1" applyBorder="1" applyFont="1">
      <alignment horizontal="left" readingOrder="0" shrinkToFit="0" vertical="center" wrapText="1"/>
    </xf>
    <xf borderId="5" fillId="6" fontId="5" numFmtId="0" xfId="0" applyAlignment="1" applyBorder="1" applyFont="1">
      <alignment readingOrder="0" shrinkToFit="0" vertical="center" wrapText="1"/>
    </xf>
    <xf borderId="5" fillId="0" fontId="41" numFmtId="0" xfId="0" applyAlignment="1" applyBorder="1" applyFont="1">
      <alignment horizontal="left" readingOrder="0" shrinkToFit="0" vertical="center" wrapText="1"/>
    </xf>
    <xf borderId="12" fillId="12" fontId="18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5" fillId="6" fontId="5" numFmtId="167" xfId="0" applyAlignment="1" applyBorder="1" applyFont="1" applyNumberFormat="1">
      <alignment shrinkToFit="0" vertical="center" wrapText="1"/>
    </xf>
    <xf borderId="5" fillId="14" fontId="5" numFmtId="0" xfId="0" applyAlignment="1" applyBorder="1" applyFont="1">
      <alignment shrinkToFit="0" vertical="center" wrapText="1"/>
    </xf>
    <xf borderId="5" fillId="14" fontId="5" numFmtId="167" xfId="0" applyAlignment="1" applyBorder="1" applyFont="1" applyNumberFormat="1">
      <alignment shrinkToFit="0" vertical="center" wrapText="1"/>
    </xf>
    <xf borderId="12" fillId="0" fontId="44" numFmtId="0" xfId="0" applyAlignment="1" applyBorder="1" applyFont="1">
      <alignment horizontal="left" readingOrder="0" shrinkToFit="0" vertical="center" wrapText="1"/>
    </xf>
    <xf borderId="5" fillId="19" fontId="5" numFmtId="0" xfId="0" applyAlignment="1" applyBorder="1" applyFont="1">
      <alignment readingOrder="0" shrinkToFit="0" vertical="center" wrapText="1"/>
    </xf>
    <xf borderId="18" fillId="6" fontId="45" numFmtId="0" xfId="0" applyAlignment="1" applyBorder="1" applyFont="1">
      <alignment horizontal="center" vertical="center"/>
    </xf>
    <xf borderId="12" fillId="6" fontId="18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12" fillId="6" fontId="4" numFmtId="9" xfId="0" applyAlignment="1" applyBorder="1" applyFont="1" applyNumberFormat="1">
      <alignment horizontal="center" readingOrder="0" shrinkToFit="0" vertical="center" wrapText="1"/>
    </xf>
    <xf borderId="0" fillId="0" fontId="46" numFmtId="0" xfId="0" applyAlignment="1" applyFont="1">
      <alignment readingOrder="0" vertical="center"/>
    </xf>
    <xf borderId="12" fillId="6" fontId="47" numFmtId="0" xfId="0" applyAlignment="1" applyBorder="1" applyFont="1">
      <alignment horizontal="left" readingOrder="0" shrinkToFit="0" vertical="center" wrapText="1"/>
    </xf>
    <xf borderId="0" fillId="0" fontId="4" numFmtId="9" xfId="0" applyAlignment="1" applyFont="1" applyNumberFormat="1">
      <alignment readingOrder="0" vertical="center"/>
    </xf>
    <xf borderId="12" fillId="0" fontId="4" numFmtId="0" xfId="0" applyAlignment="1" applyBorder="1" applyFont="1">
      <alignment horizontal="left" readingOrder="0" shrinkToFit="0" vertical="center" wrapText="1"/>
    </xf>
    <xf borderId="5" fillId="14" fontId="5" numFmtId="168" xfId="0" applyAlignment="1" applyBorder="1" applyFont="1" applyNumberFormat="1">
      <alignment readingOrder="0" shrinkToFit="0" vertical="center" wrapText="1"/>
    </xf>
    <xf borderId="12" fillId="0" fontId="4" numFmtId="0" xfId="0" applyAlignment="1" applyBorder="1" applyFont="1">
      <alignment horizontal="left" readingOrder="0" shrinkToFit="0" vertical="center" wrapText="1"/>
    </xf>
    <xf borderId="5" fillId="14" fontId="48" numFmtId="0" xfId="0" applyAlignment="1" applyBorder="1" applyFont="1">
      <alignment readingOrder="0" shrinkToFit="0" vertical="center" wrapText="1"/>
    </xf>
    <xf borderId="12" fillId="15" fontId="49" numFmtId="0" xfId="0" applyAlignment="1" applyBorder="1" applyFont="1">
      <alignment horizontal="center" readingOrder="0" shrinkToFit="0" vertical="center" wrapText="1"/>
    </xf>
    <xf borderId="12" fillId="15" fontId="4" numFmtId="9" xfId="0" applyAlignment="1" applyBorder="1" applyFont="1" applyNumberFormat="1">
      <alignment horizontal="center" readingOrder="0" shrinkToFit="0" vertical="center" wrapText="1"/>
    </xf>
    <xf borderId="12" fillId="12" fontId="17" numFmtId="9" xfId="0" applyAlignment="1" applyBorder="1" applyFont="1" applyNumberFormat="1">
      <alignment horizontal="center" readingOrder="0" shrinkToFit="0" vertical="center" wrapText="1"/>
    </xf>
    <xf borderId="12" fillId="6" fontId="17" numFmtId="0" xfId="0" applyAlignment="1" applyBorder="1" applyFont="1">
      <alignment horizontal="center" readingOrder="0" shrinkToFit="0" vertical="center" wrapText="1"/>
    </xf>
    <xf borderId="5" fillId="14" fontId="5" numFmtId="164" xfId="0" applyAlignment="1" applyBorder="1" applyFont="1" applyNumberFormat="1">
      <alignment readingOrder="0" shrinkToFit="0" vertical="top" wrapText="1"/>
    </xf>
    <xf borderId="5" fillId="14" fontId="5" numFmtId="0" xfId="0" applyAlignment="1" applyBorder="1" applyFont="1">
      <alignment readingOrder="0" shrinkToFit="0" vertical="top" wrapText="1"/>
    </xf>
    <xf borderId="5" fillId="14" fontId="5" numFmtId="0" xfId="0" applyAlignment="1" applyBorder="1" applyFont="1">
      <alignment readingOrder="0" shrinkToFit="0" vertical="center" wrapText="1"/>
    </xf>
    <xf borderId="5" fillId="27" fontId="5" numFmtId="165" xfId="0" applyAlignment="1" applyBorder="1" applyFill="1" applyFont="1" applyNumberForma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5" fillId="27" fontId="5" numFmtId="0" xfId="0" applyAlignment="1" applyBorder="1" applyFont="1">
      <alignment readingOrder="0" shrinkToFit="0" vertical="center" wrapText="1"/>
    </xf>
    <xf borderId="5" fillId="27" fontId="5" numFmtId="164" xfId="0" applyAlignment="1" applyBorder="1" applyFont="1" applyNumberFormat="1">
      <alignment readingOrder="0" shrinkToFit="0" vertical="center" wrapText="1"/>
    </xf>
    <xf borderId="5" fillId="27" fontId="5" numFmtId="0" xfId="0" applyAlignment="1" applyBorder="1" applyFont="1">
      <alignment horizontal="center" readingOrder="0" shrinkToFit="0" vertical="center" wrapText="1"/>
    </xf>
    <xf borderId="5" fillId="27" fontId="5" numFmtId="0" xfId="0" applyAlignment="1" applyBorder="1" applyFont="1">
      <alignment shrinkToFit="0" vertical="center" wrapText="1"/>
    </xf>
    <xf borderId="5" fillId="27" fontId="5" numFmtId="0" xfId="0" applyAlignment="1" applyBorder="1" applyFont="1">
      <alignment shrinkToFit="0" vertical="top" wrapText="1"/>
    </xf>
    <xf borderId="0" fillId="27" fontId="5" numFmtId="0" xfId="0" applyAlignment="1" applyFont="1">
      <alignment shrinkToFit="0" vertical="top" wrapText="1"/>
    </xf>
    <xf borderId="12" fillId="0" fontId="17" numFmtId="0" xfId="0" applyAlignment="1" applyBorder="1" applyFont="1">
      <alignment horizontal="center" readingOrder="0" shrinkToFit="0" vertical="center" wrapText="1"/>
    </xf>
    <xf borderId="5" fillId="6" fontId="5" numFmtId="0" xfId="0" applyAlignment="1" applyBorder="1" applyFont="1">
      <alignment shrinkToFit="0" vertical="center" wrapText="1"/>
    </xf>
    <xf borderId="5" fillId="6" fontId="5" numFmtId="0" xfId="0" applyAlignment="1" applyBorder="1" applyFont="1">
      <alignment shrinkToFit="0" vertical="top" wrapText="1"/>
    </xf>
    <xf borderId="5" fillId="14" fontId="5" numFmtId="0" xfId="0" applyAlignment="1" applyBorder="1" applyFont="1">
      <alignment shrinkToFit="0" vertical="center" wrapText="1"/>
    </xf>
    <xf borderId="5" fillId="14" fontId="5" numFmtId="0" xfId="0" applyAlignment="1" applyBorder="1" applyFont="1">
      <alignment shrinkToFit="0" vertical="top" wrapText="1"/>
    </xf>
    <xf borderId="12" fillId="28" fontId="4" numFmtId="0" xfId="0" applyAlignment="1" applyBorder="1" applyFill="1" applyFont="1">
      <alignment readingOrder="0"/>
    </xf>
    <xf borderId="12" fillId="28" fontId="4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readingOrder="0"/>
    </xf>
    <xf borderId="12" fillId="0" fontId="50" numFmtId="0" xfId="0" applyAlignment="1" applyBorder="1" applyFont="1">
      <alignment readingOrder="0"/>
    </xf>
    <xf borderId="5" fillId="0" fontId="41" numFmtId="0" xfId="0" applyAlignment="1" applyBorder="1" applyFont="1">
      <alignment readingOrder="0" shrinkToFit="0" vertical="center" wrapText="1"/>
    </xf>
    <xf borderId="12" fillId="0" fontId="51" numFmtId="0" xfId="0" applyAlignment="1" applyBorder="1" applyFont="1">
      <alignment horizontal="left" readingOrder="0" shrinkToFit="0" vertical="center" wrapText="1"/>
    </xf>
    <xf borderId="12" fillId="0" fontId="4" numFmtId="0" xfId="0" applyBorder="1" applyFont="1"/>
    <xf borderId="13" fillId="20" fontId="4" numFmtId="0" xfId="0" applyAlignment="1" applyBorder="1" applyFont="1">
      <alignment horizontal="center" readingOrder="0" vertical="center"/>
    </xf>
    <xf borderId="12" fillId="20" fontId="4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left" shrinkToFit="0" vertical="center" wrapText="1"/>
    </xf>
    <xf borderId="5" fillId="6" fontId="5" numFmtId="0" xfId="0" applyAlignment="1" applyBorder="1" applyFont="1">
      <alignment horizontal="center" shrinkToFit="0" vertical="center" wrapText="1"/>
    </xf>
    <xf borderId="5" fillId="14" fontId="5" numFmtId="0" xfId="0" applyAlignment="1" applyBorder="1" applyFont="1">
      <alignment horizontal="center" shrinkToFit="0" vertical="center" wrapText="1"/>
    </xf>
    <xf borderId="5" fillId="14" fontId="5" numFmtId="167" xfId="0" applyAlignment="1" applyBorder="1" applyFont="1" applyNumberFormat="1">
      <alignment readingOrder="0" shrinkToFit="0" vertical="center" wrapText="1"/>
    </xf>
    <xf borderId="0" fillId="0" fontId="52" numFmtId="0" xfId="0" applyAlignment="1" applyFont="1">
      <alignment readingOrder="0"/>
    </xf>
    <xf borderId="0" fillId="0" fontId="52" numFmtId="0" xfId="0" applyFont="1"/>
    <xf borderId="0" fillId="0" fontId="53" numFmtId="0" xfId="0" applyAlignment="1" applyFont="1">
      <alignment readingOrder="0"/>
    </xf>
    <xf borderId="0" fillId="0" fontId="53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</dxfs>
  <tableStyles count="2">
    <tableStyle count="3" pivot="0" name="Registro Datos - NO VALIDO-style">
      <tableStyleElement dxfId="1" type="headerRow"/>
      <tableStyleElement dxfId="2" type="firstRowStripe"/>
      <tableStyleElement dxfId="3" type="secondRowStripe"/>
    </tableStyle>
    <tableStyle count="3" pivot="0" name="Registro Datos - Reportes sem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Estado del corte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Dashboard!$K$13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Dashboard!$J$14:$J$17</c:f>
            </c:strRef>
          </c:cat>
          <c:val>
            <c:numRef>
              <c:f>Dashboard!$K$14:$K$17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1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Temporalidad de indicadores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Dashboard!$K$23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Dashboard!$J$24:$J$26</c:f>
            </c:strRef>
          </c:cat>
          <c:val>
            <c:numRef>
              <c:f>Dashboard!$K$24:$K$26</c:f>
              <c:numCache/>
            </c:numRef>
          </c:val>
        </c:ser>
        <c:axId val="334575896"/>
        <c:axId val="1221245844"/>
      </c:barChart>
      <c:catAx>
        <c:axId val="334575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245844"/>
      </c:catAx>
      <c:valAx>
        <c:axId val="1221245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N° indicadores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575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12</xdr:row>
      <xdr:rowOff>0</xdr:rowOff>
    </xdr:from>
    <xdr:ext cx="2876550" cy="2152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23</xdr:row>
      <xdr:rowOff>0</xdr:rowOff>
    </xdr:from>
    <xdr:ext cx="2876550" cy="21526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sol Orellana Chávez" id="{2e47c7d2-e3c0-424b-a504-07d5a329cda4}" providerId="google-sheets"/>
  <x18tc:person displayName="María del Rosario Marceliano Chaparro" id="{1a0200a4-12fa-4b2f-b012-64a4f380e708}" providerId="google-sheets"/>
</x18tc:personList>
</file>

<file path=xl/tables/table1.xml><?xml version="1.0" encoding="utf-8"?>
<table xmlns="http://schemas.openxmlformats.org/spreadsheetml/2006/main" ref="A2:J61" displayName="Table_1" name="Table_1" id="1">
  <tableColumns count="10">
    <tableColumn name="Código" id="1"/>
    <tableColumn name="Dimensión" id="2"/>
    <tableColumn name="Indicador" id="3"/>
    <tableColumn name="Meta esperada" id="4"/>
    <tableColumn name="Temporalidad" id="5"/>
    <tableColumn name="División BGU" id="6"/>
    <tableColumn name="RESULTADOS ALCANZADOS" id="7"/>
    <tableColumn name="FUENTES DE VERIFICACIÓN " id="8"/>
    <tableColumn name="COMENTARIOS RELEVANTES" id="9"/>
    <tableColumn name="ACCIONES DE MEJORA IDENTIFICADAS" id="10"/>
  </tableColumns>
  <tableStyleInfo name="Registro Datos - NO VALIDO-style" showColumnStripes="0" showFirstColumn="1" showLastColumn="1" showRowStripes="1"/>
</table>
</file>

<file path=xl/tables/table2.xml><?xml version="1.0" encoding="utf-8"?>
<table xmlns="http://schemas.openxmlformats.org/spreadsheetml/2006/main" ref="A1:N213" displayName="Table_2" name="Table_2" id="2">
  <tableColumns count="14">
    <tableColumn name="Fecha de recepción" id="1"/>
    <tableColumn name="Año académico" id="2"/>
    <tableColumn name="Mes / periodo" id="3"/>
    <tableColumn name="Corte asociado" id="4"/>
    <tableColumn name="Código" id="5"/>
    <tableColumn name="Indicador" id="6"/>
    <tableColumn name="Dimensión" id="7"/>
    <tableColumn name="Temporalidad" id="8"/>
    <tableColumn name="División BGU" id="9"/>
    <tableColumn name="Valor reportado" id="10"/>
    <tableColumn name="Unidad / escala" id="11"/>
    <tableColumn name="Fuente / evidencia" id="12"/>
    <tableColumn name="Link / ubicación" id="13"/>
    <tableColumn name="Observaciones" id="14"/>
  </tableColumns>
  <tableStyleInfo name="Registro Datos - Reportes sem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7-17T19:10:37.00" personId="{1a0200a4-12fa-4b2f-b012-64a4f380e708}" id="{2f3b0acd-7e05-4d5e-af61-9730745da1a7}" done="0">
    <x18tc:text xml:space="preserve">4.5 equivalente</x18tc:text>
  </x18tc:threadedComment>
  <x18tc:threadedComment ref="N26" dT="2026-07-17T19:17:24.00" personId="{1a0200a4-12fa-4b2f-b012-64a4f380e708}" id="{a5245574-bdd4-43ef-b92f-58fd43aa7a8c}" done="0">
    <x18tc:text xml:space="preserve">actualizar el cálculo</x18tc:text>
  </x18tc:threadedComment>
  <x18tc:threadedComment ref="N26" dT="2026-07-21T14:42:21.00" personId="{2e47c7d2-e3c0-424b-a504-07d5a329cda4}" id="{7eb4a78a-79cd-470f-8c72-e987f2d39799}" parentId="{a5245574-bdd4-43ef-b92f-58fd43aa7a8c}">
    <x18tc:text xml:space="preserve">trabajando en ello</x18tc:text>
  </x18tc:threadedComment>
  <x18tc:threadedComment ref="N11" dT="2026-07-17T19:13:07.00" personId="{1a0200a4-12fa-4b2f-b012-64a4f380e708}" id="{e832a0f0-b7f2-4b5d-915d-a554a5c3713e}" done="1">
    <x18tc:text xml:space="preserve">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support.blackwell.university/Uptime" TargetMode="External"/><Relationship Id="rId22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21" Type="http://schemas.openxmlformats.org/officeDocument/2006/relationships/hyperlink" Target="https://support.blackwell.university/it-security/" TargetMode="External"/><Relationship Id="rId24" Type="http://schemas.openxmlformats.org/officeDocument/2006/relationships/hyperlink" Target="https://drive.google.com/drive/folders/1d5VVdf1LivYlxPcA7L4HglMgb9sU06CM?usp=sharing" TargetMode="External"/><Relationship Id="rId23" Type="http://schemas.openxmlformats.org/officeDocument/2006/relationships/hyperlink" Target="https://docs.google.com/document/d/12-YdKziC6L1JtWk_wIDgmt2pXoV-Bb8mdFTS6VQnaF0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gOejDSsLOS0mqTXNc5ZvZMOC3fq8XoRU/view?usp=drive_link" TargetMode="External"/><Relationship Id="rId9" Type="http://schemas.openxmlformats.org/officeDocument/2006/relationships/hyperlink" Target="https://drive.google.com/file/d/1gOejDSsLOS0mqTXNc5ZvZMOC3fq8XoRU/view?usp=drive_link" TargetMode="External"/><Relationship Id="rId26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25" Type="http://schemas.openxmlformats.org/officeDocument/2006/relationships/hyperlink" Target="https://docs.google.com/spreadsheets/d/1M8ekw8wn8oK9-xgIEUN2FIS3xyKoA--Qg54cccbHkao/edit?usp=sharing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s://docs.google.com/spreadsheets/d/1DO8PuDas2OPdtnPAeii96zm_4h5Y1EgL4TFvRVCwZPo/edit?gid=0" TargetMode="External"/><Relationship Id="rId5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6" Type="http://schemas.openxmlformats.org/officeDocument/2006/relationships/hyperlink" Target="https://docs.google.com/spreadsheets/d/14MNrnieqTfpn73Sji5wK92H8u1HrH7s8qfyywZCo8Ig/edit?usp=sharing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ocs.google.com/document/d/1uBVqfG8l6bXvHAKwycPWdFkq3AUlfX08/edit?usp=drive_link&amp;ouid=117917335412536701232&amp;rtpof=true&amp;sd=true" TargetMode="External"/><Relationship Id="rId8" Type="http://schemas.openxmlformats.org/officeDocument/2006/relationships/hyperlink" Target="https://docs.google.com/spreadsheets/d/12fgckcSJuok35hdkW0V1UYPanC4TSKZhJkpbbzv6br8/edit?gid=444740533" TargetMode="External"/><Relationship Id="rId11" Type="http://schemas.openxmlformats.org/officeDocument/2006/relationships/hyperlink" Target="https://docs.google.com/spreadsheets/d/1swjlYk0nXVaJDEj7bZHpWY64QRoXP2v-yw5BmSt1Jfw/edit?usp=sharing" TargetMode="External"/><Relationship Id="rId10" Type="http://schemas.openxmlformats.org/officeDocument/2006/relationships/hyperlink" Target="https://drive.google.com/file/d/1uHFZ1pyHOjbXJV1kg5HGlDGGXGM4ou7L/view?usp=sharing" TargetMode="External"/><Relationship Id="rId13" Type="http://schemas.openxmlformats.org/officeDocument/2006/relationships/hyperlink" Target="https://docs.google.com/spreadsheets/d/1LTZX6UArPsjVOAyVrE5b1j2NdsrHHEH2bnBI22stLBk/edit?usp=sharing" TargetMode="External"/><Relationship Id="rId12" Type="http://schemas.openxmlformats.org/officeDocument/2006/relationships/hyperlink" Target="https://docs.google.com/spreadsheets/d/1r4sGVRx6eC42jqV-NEHeph0F46P-gXyCmodQgblBlxw/edit?usp=sharing" TargetMode="External"/><Relationship Id="rId15" Type="http://schemas.openxmlformats.org/officeDocument/2006/relationships/hyperlink" Target="https://campus.blackwell.university/mod/feedback/show_entries.php?id=51377&amp;userid&amp;showcompleted&amp;delete" TargetMode="External"/><Relationship Id="rId14" Type="http://schemas.openxmlformats.org/officeDocument/2006/relationships/hyperlink" Target="https://docs.google.com/spreadsheets/d/1yjsQB2vx5CSrpWIxWGKqy4p5rPCyT6XcMXX9z1fMv6A/edit?usp=sharing" TargetMode="External"/><Relationship Id="rId17" Type="http://schemas.openxmlformats.org/officeDocument/2006/relationships/hyperlink" Target="https://docs.google.com/spreadsheets/d/1nGktT45Kgur_dIUDgEDkMfbKQ6PQl11h0yZ_QITPey8/edit?gid=1986024107" TargetMode="External"/><Relationship Id="rId16" Type="http://schemas.openxmlformats.org/officeDocument/2006/relationships/hyperlink" Target="https://drive.google.com/file/d/15N5BwJ16rYWiTDyLzCRv9q-1AkMQxCM5/view?usp=drive_link" TargetMode="External"/><Relationship Id="rId19" Type="http://schemas.openxmlformats.org/officeDocument/2006/relationships/hyperlink" Target="https://support.blackwell.university/tech-infrastructure-reports/" TargetMode="External"/><Relationship Id="rId18" Type="http://schemas.openxmlformats.org/officeDocument/2006/relationships/hyperlink" Target="https://docs.google.com/document/d/1ZNoM3Axx9AGv8Mab3N0cNxaGwCUcmTT-tSdI1w5UzS0/edit?tab=t.0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DO8PuDas2OPdtnPAeii96zm_4h5Y1EgL4TFvRVCwZPo/edit?gid=0" TargetMode="External"/><Relationship Id="rId22" Type="http://schemas.openxmlformats.org/officeDocument/2006/relationships/vmlDrawing" Target="../drawings/vmlDrawing2.vml"/><Relationship Id="rId21" Type="http://schemas.openxmlformats.org/officeDocument/2006/relationships/drawing" Target="../drawings/drawing6.xml"/><Relationship Id="rId24" Type="http://schemas.openxmlformats.org/officeDocument/2006/relationships/table" Target="../tables/table1.xm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Nn_eSzYDk76fL6Tpg8eqDpRHgX1y8h2S84Uvvut6VMw/edit?usp=sharing" TargetMode="External"/><Relationship Id="rId3" Type="http://schemas.openxmlformats.org/officeDocument/2006/relationships/hyperlink" Target="https://docs.google.com/spreadsheets/d/1lIizW97_NLL5JQ_Ehl9DfZxB1bWFvZ6EowqfYdYrwWY/edit?usp=sharing" TargetMode="External"/><Relationship Id="rId4" Type="http://schemas.openxmlformats.org/officeDocument/2006/relationships/hyperlink" Target="https://docs.google.com/spreadsheets/d/1lIizW97_NLL5JQ_Ehl9DfZxB1bWFvZ6EowqfYdYrwWY/edit?usp=sharing" TargetMode="External"/><Relationship Id="rId9" Type="http://schemas.openxmlformats.org/officeDocument/2006/relationships/hyperlink" Target="https://docs.google.com/document/d/1eYH7OC0sK7pUDE-0Dis7DxZhq9HZ1MJAJrtAWZuIggM/edit?tab=t.0" TargetMode="External"/><Relationship Id="rId5" Type="http://schemas.openxmlformats.org/officeDocument/2006/relationships/hyperlink" Target="https://docs.google.com/spreadsheets/d/1D3xU22BJJ-9-PmpUytOa9QaXz1SqTwSGFxc5l8YFYfw/edit?gid=1233620087" TargetMode="External"/><Relationship Id="rId6" Type="http://schemas.openxmlformats.org/officeDocument/2006/relationships/hyperlink" Target="https://proxy.blackwell.university/?url=https://web02.fldoe.org/CIE/SearchSchools/SchoolSearchDetail.aspx?schoolID=12499" TargetMode="External"/><Relationship Id="rId7" Type="http://schemas.openxmlformats.org/officeDocument/2006/relationships/hyperlink" Target="https://docs.google.com/spreadsheets/d/1lIizW97_NLL5JQ_Ehl9DfZxB1bWFvZ6EowqfYdYrwWY/edit?usp=sharing" TargetMode="External"/><Relationship Id="rId8" Type="http://schemas.openxmlformats.org/officeDocument/2006/relationships/hyperlink" Target="https://docs.google.com/spreadsheets/d/1bLeOhiiIGSdhKg4g2lTu5em_xjEiKNEbRTOZYACUr88/edit?gid=359438294" TargetMode="External"/><Relationship Id="rId11" Type="http://schemas.openxmlformats.org/officeDocument/2006/relationships/hyperlink" Target="https://docs.google.com/document/d/1eYH7OC0sK7pUDE-0Dis7DxZhq9HZ1MJAJrtAWZuIggM/edit?tab=t.0" TargetMode="External"/><Relationship Id="rId10" Type="http://schemas.openxmlformats.org/officeDocument/2006/relationships/hyperlink" Target="https://drive.google.com/file/d/15N5BwJ16rYWiTDyLzCRv9q-1AkMQxCM5/view?usp=drive_link" TargetMode="External"/><Relationship Id="rId13" Type="http://schemas.openxmlformats.org/officeDocument/2006/relationships/hyperlink" Target="https://drive.google.com/file/d/1IcrzjQ2kybNCy7FDUZrIirYl6sUf1ehy/view?usp=drive_link" TargetMode="External"/><Relationship Id="rId12" Type="http://schemas.openxmlformats.org/officeDocument/2006/relationships/hyperlink" Target="https://docs.google.com/document/d/1ZNoM3Axx9AGv8Mab3N0cNxaGwCUcmTT-tSdI1w5UzS0/edit?tab=t.0" TargetMode="External"/><Relationship Id="rId15" Type="http://schemas.openxmlformats.org/officeDocument/2006/relationships/hyperlink" Target="https://drive.google.com/file/d/1xbTlC_Ca29hOTgVhrDN56taBAZnvhheA/view?usp=drive_link" TargetMode="External"/><Relationship Id="rId14" Type="http://schemas.openxmlformats.org/officeDocument/2006/relationships/hyperlink" Target="https://drive.google.com/file/d/1bWqmY7uuv-dGqXW2yYjRyVcRxm2UHCgF/view?usp=drive_link" TargetMode="External"/><Relationship Id="rId17" Type="http://schemas.openxmlformats.org/officeDocument/2006/relationships/hyperlink" Target="https://docs.google.com/spreadsheets/d/1ylBZ6_-xXtYqPGb1CIAE1v2JDEmO1ZPywcfkCIOr_pE/edit?gid=1564101999" TargetMode="External"/><Relationship Id="rId16" Type="http://schemas.openxmlformats.org/officeDocument/2006/relationships/hyperlink" Target="https://docs.google.com/document/d/1eYH7OC0sK7pUDE-0Dis7DxZhq9HZ1MJAJrtAWZuIggM/edit?tab=t.0" TargetMode="External"/><Relationship Id="rId19" Type="http://schemas.openxmlformats.org/officeDocument/2006/relationships/hyperlink" Target="https://es.linkedin.com/posts/blackwell-global-university_blackwell-global-university-presente-activity-7469856343982649344-1zXq" TargetMode="External"/><Relationship Id="rId18" Type="http://schemas.openxmlformats.org/officeDocument/2006/relationships/hyperlink" Target="https://docs.google.com/spreadsheets/d/1cBiztGcy7OmGhyz1oowIfntHYcqXSccPFKn1NlqaHqg/edit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F3jYDlnMuOmuiN68--SYH0794rW7lG7tFEJ81XcJ-4/edit?gid=2097181425" TargetMode="External"/><Relationship Id="rId2" Type="http://schemas.openxmlformats.org/officeDocument/2006/relationships/hyperlink" Target="https://docs.google.com/spreadsheets/d/1aF3jYDlnMuOmuiN68--SYH0794rW7lG7tFEJ81XcJ-4/edit?gid=2097181425" TargetMode="External"/><Relationship Id="rId3" Type="http://schemas.openxmlformats.org/officeDocument/2006/relationships/hyperlink" Target="https://docs.google.com/spreadsheets/d/1ylBZ6_-xXtYqPGb1CIAE1v2JDEmO1ZPywcfkCIOr_pE/edit?gid=1564101999" TargetMode="External"/><Relationship Id="rId4" Type="http://schemas.openxmlformats.org/officeDocument/2006/relationships/hyperlink" Target="https://docs.google.com/spreadsheets/d/1cBiztGcy7OmGhyz1oowIfntHYcqXSccPFKn1NlqaHqg/edit?usp=sharing" TargetMode="External"/><Relationship Id="rId5" Type="http://schemas.openxmlformats.org/officeDocument/2006/relationships/drawing" Target="../drawings/drawing7.xml"/><Relationship Id="rId7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bBm8nxwZfKgPx9leuqnW_FAbadizSJ2/edit?usp=drive_link&amp;ouid=114033659509775196018&amp;rtpof=true&amp;sd=true" TargetMode="External"/><Relationship Id="rId2" Type="http://schemas.openxmlformats.org/officeDocument/2006/relationships/hyperlink" Target="https://docs.google.com/document/d/1DvPLR_Sqw9lFHz2NUHALgMqU2OCxEuq0/edit?usp=drive_link&amp;ouid=114033659509775196018&amp;rtpof=true&amp;sd=true" TargetMode="External"/><Relationship Id="rId3" Type="http://schemas.openxmlformats.org/officeDocument/2006/relationships/hyperlink" Target="https://docs.google.com/document/d/1Q5xvooLQ4RzzDnYVU_zXP_uZWuiyJdia/edit?usp=drive_link&amp;ouid=114033659509775196018&amp;rtpof=true&amp;sd=true" TargetMode="External"/><Relationship Id="rId4" Type="http://schemas.openxmlformats.org/officeDocument/2006/relationships/hyperlink" Target="https://docs.google.com/document/d/1enWoI5dtpHHXUMR_bsWPAKbZ00cgrk5N/edit?usp=drive_link&amp;ouid=114033659509775196018&amp;rtpof=true&amp;sd=true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docs.google.com/document/d/162akA0GJaY-5IrBdEnyEEeqxBu1IrCKWgp4jQJ8YTzA/edit?usp=sharing" TargetMode="External"/><Relationship Id="rId6" Type="http://schemas.openxmlformats.org/officeDocument/2006/relationships/hyperlink" Target="https://docs.google.com/document/d/15VlcSGqrneGx_EQpwxZ3QkV5aJmS-tmO_UNvondLYmI/edit?usp=sharing" TargetMode="External"/><Relationship Id="rId7" Type="http://schemas.openxmlformats.org/officeDocument/2006/relationships/hyperlink" Target="https://docs.google.com/document/d/1k7hyMgMxSXK_M83dFuZ6gszRBJHvr88igDvrgMbN1J8/edit?usp=sharing" TargetMode="External"/><Relationship Id="rId8" Type="http://schemas.openxmlformats.org/officeDocument/2006/relationships/hyperlink" Target="https://docs.google.com/document/d/18XWaJGssvq8Rodx0uHIXDN8Awvsa-LFd_PdCRYQI6lA/edit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13.0"/>
    <col customWidth="1" min="4" max="4" width="24.0"/>
    <col customWidth="1" min="5" max="8" width="12.0"/>
    <col customWidth="1" min="9" max="14" width="13.0"/>
    <col customWidth="1" min="15" max="26" width="8.71"/>
  </cols>
  <sheetData>
    <row r="1">
      <c r="A1" s="5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A2" s="17" t="s">
        <v>70</v>
      </c>
    </row>
    <row r="4">
      <c r="A4" s="7" t="s">
        <v>71</v>
      </c>
      <c r="E4" s="18" t="s">
        <v>11</v>
      </c>
    </row>
    <row r="6">
      <c r="B6" s="19" t="s">
        <v>72</v>
      </c>
      <c r="C6" s="20"/>
      <c r="E6" s="19" t="s">
        <v>73</v>
      </c>
      <c r="F6" s="20"/>
      <c r="H6" s="19" t="s">
        <v>75</v>
      </c>
      <c r="I6" s="20"/>
      <c r="K6" s="19" t="s">
        <v>76</v>
      </c>
      <c r="L6" s="20"/>
    </row>
    <row r="7">
      <c r="B7" s="21">
        <f>COUNTA('Indicadores Master'!$D$2:$D$65)</f>
        <v>64</v>
      </c>
      <c r="C7" s="22"/>
      <c r="E7" s="21">
        <f>COUNTIF('Indicadores Master'!$K$2:$K$65,"Mensual")</f>
        <v>2</v>
      </c>
      <c r="F7" s="22"/>
      <c r="H7" s="21">
        <f>COUNTIF('Indicadores Master'!$K$2:$K$65,"Semestral")</f>
        <v>3</v>
      </c>
      <c r="I7" s="22"/>
      <c r="K7" s="21">
        <f>COUNTIF('Indicadores Master'!$K$2:$K$65,"Anual")</f>
        <v>59</v>
      </c>
      <c r="L7" s="22"/>
    </row>
    <row r="8">
      <c r="B8" s="23"/>
      <c r="C8" s="24"/>
      <c r="E8" s="23"/>
      <c r="F8" s="24"/>
      <c r="H8" s="23"/>
      <c r="I8" s="24"/>
      <c r="K8" s="23"/>
      <c r="L8" s="24"/>
    </row>
    <row r="11">
      <c r="A11" s="7" t="s">
        <v>83</v>
      </c>
      <c r="D11" s="7" t="s">
        <v>84</v>
      </c>
      <c r="J11" s="7" t="s">
        <v>85</v>
      </c>
    </row>
    <row r="13">
      <c r="A13" s="25" t="s">
        <v>87</v>
      </c>
      <c r="B13" s="25" t="s">
        <v>89</v>
      </c>
      <c r="D13" s="25" t="s">
        <v>90</v>
      </c>
      <c r="E13" s="25" t="s">
        <v>8</v>
      </c>
      <c r="F13" s="25" t="s">
        <v>16</v>
      </c>
      <c r="G13" s="25" t="s">
        <v>27</v>
      </c>
      <c r="H13" s="25" t="s">
        <v>36</v>
      </c>
    </row>
    <row r="14">
      <c r="A14" s="14" t="s">
        <v>93</v>
      </c>
      <c r="B14" s="14">
        <f>IF($E$4="C1 - Diciembre",COUNTIF('Evaluación Cortes Semestrales'!$I$5:$I$68,"Cumple"),IF($E$4="C2 - Abril",COUNTIF('Evaluación Cortes Semestrales'!$P$5:$P$68,"Cumple"),COUNTIF('Evaluación Cortes Semestrales'!$W$5:$W$68,"Cumple")))</f>
        <v>3</v>
      </c>
      <c r="C14" s="14"/>
      <c r="D14" s="14" t="s">
        <v>95</v>
      </c>
      <c r="E14" s="14">
        <f>IF($E$4="C1 - Diciembre",SUMPRODUCT(('Evaluación Cortes Semestrales'!$B$5:$B$68=D14)*('Evaluación Cortes Semestrales'!$I$5:$I$68="Cumple")),IF($E$4="C2 - Abril",SUMPRODUCT(('Evaluación Cortes Semestrales'!$B$5:$B$68=D14)*('Evaluación Cortes Semestrales'!$P$5:$P$68="Cumple")),SUMPRODUCT(('Evaluación Cortes Semestrales'!$B$5:$B$68=D14)*('Evaluación Cortes Semestrales'!$W$5:$W$68="Cumple"))))</f>
        <v>0</v>
      </c>
      <c r="F14" s="14">
        <f>IF($E$4="C1 - Diciembre",SUMPRODUCT(('Evaluación Cortes Semestrales'!$B$5:$B$68=D14)*('Evaluación Cortes Semestrales'!$I$5:$I$68="En riesgo")),IF($E$4="C2 - Abril",SUMPRODUCT(('Evaluación Cortes Semestrales'!$B$5:$B$68=D14)*('Evaluación Cortes Semestrales'!$P$5:$P$68="En riesgo")),SUMPRODUCT(('Evaluación Cortes Semestrales'!$B$5:$B$68=D14)*('Evaluación Cortes Semestrales'!$W$5:$W$68="En riesgo"))))</f>
        <v>0</v>
      </c>
      <c r="G14" s="14">
        <f>IF($E$4="C1 - Diciembre",SUMPRODUCT(('Evaluación Cortes Semestrales'!$B$5:$B$68=D14)*('Evaluación Cortes Semestrales'!$I$5:$I$68="No cumple")),IF($E$4="C2 - Abril",SUMPRODUCT(('Evaluación Cortes Semestrales'!$B$5:$B$68=D14)*('Evaluación Cortes Semestrales'!$P$5:$P$68="No cumple")),SUMPRODUCT(('Evaluación Cortes Semestrales'!$B$5:$B$68=D14)*('Evaluación Cortes Semestrales'!$W$5:$W$68="No cumple"))))</f>
        <v>0</v>
      </c>
      <c r="H14" s="14">
        <f>IF($E$4="C1 - Diciembre",SUMPRODUCT(('Evaluación Cortes Semestrales'!$B$5:$B$68=D14)*('Evaluación Cortes Semestrales'!$I$5:$I$68="Pendiente")),IF($E$4="C2 - Abril",SUMPRODUCT(('Evaluación Cortes Semestrales'!$B$5:$B$68=D14)*('Evaluación Cortes Semestrales'!$P$5:$P$68="Pendiente")),SUMPRODUCT(('Evaluación Cortes Semestrales'!$B$5:$B$68=D14)*('Evaluación Cortes Semestrales'!$W$5:$W$68="Pendiente"))))</f>
        <v>0</v>
      </c>
      <c r="I14" s="14"/>
      <c r="J14" s="14" t="s">
        <v>8</v>
      </c>
      <c r="K14" s="14">
        <f t="shared" ref="K14:K17" si="1">B14</f>
        <v>3</v>
      </c>
      <c r="L14" s="14"/>
      <c r="M14" s="14"/>
      <c r="N14" s="14"/>
    </row>
    <row r="15">
      <c r="A15" s="46" t="s">
        <v>135</v>
      </c>
      <c r="B15" s="46">
        <f>IF($E$4="C1 - Diciembre",COUNTIF('Evaluación Cortes Semestrales'!$I$5:$I$68,"En riesgo"),IF($E$4="C2 - Abril",COUNTIF('Evaluación Cortes Semestrales'!$P$5:$P$68,"En riesgo"),COUNTIF('Evaluación Cortes Semestrales'!$W$5:$W$68,"En riesgo")))</f>
        <v>0</v>
      </c>
      <c r="C15" s="46"/>
      <c r="D15" s="46" t="s">
        <v>138</v>
      </c>
      <c r="E15" s="46">
        <f>IF($E$4="C1 - Diciembre",SUMPRODUCT(('Evaluación Cortes Semestrales'!$B$5:$B$68=D15)*('Evaluación Cortes Semestrales'!$I$5:$I$68="Cumple")),IF($E$4="C2 - Abril",SUMPRODUCT(('Evaluación Cortes Semestrales'!$B$5:$B$68=D15)*('Evaluación Cortes Semestrales'!$P$5:$P$68="Cumple")),SUMPRODUCT(('Evaluación Cortes Semestrales'!$B$5:$B$68=D15)*('Evaluación Cortes Semestrales'!$W$5:$W$68="Cumple"))))</f>
        <v>1</v>
      </c>
      <c r="F15" s="46">
        <f>IF($E$4="C1 - Diciembre",SUMPRODUCT(('Evaluación Cortes Semestrales'!$B$5:$B$68=D15)*('Evaluación Cortes Semestrales'!$I$5:$I$68="En riesgo")),IF($E$4="C2 - Abril",SUMPRODUCT(('Evaluación Cortes Semestrales'!$B$5:$B$68=D15)*('Evaluación Cortes Semestrales'!$P$5:$P$68="En riesgo")),SUMPRODUCT(('Evaluación Cortes Semestrales'!$B$5:$B$68=D15)*('Evaluación Cortes Semestrales'!$W$5:$W$68="En riesgo"))))</f>
        <v>0</v>
      </c>
      <c r="G15" s="46">
        <f>IF($E$4="C1 - Diciembre",SUMPRODUCT(('Evaluación Cortes Semestrales'!$B$5:$B$68=D15)*('Evaluación Cortes Semestrales'!$I$5:$I$68="No cumple")),IF($E$4="C2 - Abril",SUMPRODUCT(('Evaluación Cortes Semestrales'!$B$5:$B$68=D15)*('Evaluación Cortes Semestrales'!$P$5:$P$68="No cumple")),SUMPRODUCT(('Evaluación Cortes Semestrales'!$B$5:$B$68=D15)*('Evaluación Cortes Semestrales'!$W$5:$W$68="No cumple"))))</f>
        <v>0</v>
      </c>
      <c r="H15" s="46">
        <f>IF($E$4="C1 - Diciembre",SUMPRODUCT(('Evaluación Cortes Semestrales'!$B$5:$B$68=D15)*('Evaluación Cortes Semestrales'!$I$5:$I$68="Pendiente")),IF($E$4="C2 - Abril",SUMPRODUCT(('Evaluación Cortes Semestrales'!$B$5:$B$68=D15)*('Evaluación Cortes Semestrales'!$P$5:$P$68="Pendiente")),SUMPRODUCT(('Evaluación Cortes Semestrales'!$B$5:$B$68=D15)*('Evaluación Cortes Semestrales'!$W$5:$W$68="Pendiente"))))</f>
        <v>0</v>
      </c>
      <c r="I15" s="46"/>
      <c r="J15" s="46" t="s">
        <v>16</v>
      </c>
      <c r="K15" s="46">
        <f t="shared" si="1"/>
        <v>0</v>
      </c>
      <c r="L15" s="46"/>
      <c r="M15" s="46"/>
      <c r="N15" s="46"/>
    </row>
    <row r="16">
      <c r="A16" s="14" t="s">
        <v>158</v>
      </c>
      <c r="B16" s="14">
        <f>IF($E$4="C1 - Diciembre",COUNTIF('Evaluación Cortes Semestrales'!$I$5:$I$68,"No cumple"),IF($E$4="C2 - Abril",COUNTIF('Evaluación Cortes Semestrales'!$P$5:$P$68,"No cumple"),COUNTIF('Evaluación Cortes Semestrales'!$W$5:$W$68,"No cumple")))</f>
        <v>1</v>
      </c>
      <c r="C16" s="14"/>
      <c r="D16" s="14" t="s">
        <v>164</v>
      </c>
      <c r="E16" s="14">
        <f>IF($E$4="C1 - Diciembre",SUMPRODUCT(('Evaluación Cortes Semestrales'!$B$5:$B$68=D16)*('Evaluación Cortes Semestrales'!$I$5:$I$68="Cumple")),IF($E$4="C2 - Abril",SUMPRODUCT(('Evaluación Cortes Semestrales'!$B$5:$B$68=D16)*('Evaluación Cortes Semestrales'!$P$5:$P$68="Cumple")),SUMPRODUCT(('Evaluación Cortes Semestrales'!$B$5:$B$68=D16)*('Evaluación Cortes Semestrales'!$W$5:$W$68="Cumple"))))</f>
        <v>0</v>
      </c>
      <c r="F16" s="14">
        <f>IF($E$4="C1 - Diciembre",SUMPRODUCT(('Evaluación Cortes Semestrales'!$B$5:$B$68=D16)*('Evaluación Cortes Semestrales'!$I$5:$I$68="En riesgo")),IF($E$4="C2 - Abril",SUMPRODUCT(('Evaluación Cortes Semestrales'!$B$5:$B$68=D16)*('Evaluación Cortes Semestrales'!$P$5:$P$68="En riesgo")),SUMPRODUCT(('Evaluación Cortes Semestrales'!$B$5:$B$68=D16)*('Evaluación Cortes Semestrales'!$W$5:$W$68="En riesgo"))))</f>
        <v>0</v>
      </c>
      <c r="G16" s="14">
        <f>IF($E$4="C1 - Diciembre",SUMPRODUCT(('Evaluación Cortes Semestrales'!$B$5:$B$68=D16)*('Evaluación Cortes Semestrales'!$I$5:$I$68="No cumple")),IF($E$4="C2 - Abril",SUMPRODUCT(('Evaluación Cortes Semestrales'!$B$5:$B$68=D16)*('Evaluación Cortes Semestrales'!$P$5:$P$68="No cumple")),SUMPRODUCT(('Evaluación Cortes Semestrales'!$B$5:$B$68=D16)*('Evaluación Cortes Semestrales'!$W$5:$W$68="No cumple"))))</f>
        <v>0</v>
      </c>
      <c r="H16" s="14">
        <f>IF($E$4="C1 - Diciembre",SUMPRODUCT(('Evaluación Cortes Semestrales'!$B$5:$B$68=D16)*('Evaluación Cortes Semestrales'!$I$5:$I$68="Pendiente")),IF($E$4="C2 - Abril",SUMPRODUCT(('Evaluación Cortes Semestrales'!$B$5:$B$68=D16)*('Evaluación Cortes Semestrales'!$P$5:$P$68="Pendiente")),SUMPRODUCT(('Evaluación Cortes Semestrales'!$B$5:$B$68=D16)*('Evaluación Cortes Semestrales'!$W$5:$W$68="Pendiente"))))</f>
        <v>0</v>
      </c>
      <c r="I16" s="14"/>
      <c r="J16" s="14" t="s">
        <v>27</v>
      </c>
      <c r="K16" s="14">
        <f t="shared" si="1"/>
        <v>1</v>
      </c>
      <c r="L16" s="14"/>
      <c r="M16" s="14"/>
      <c r="N16" s="14"/>
    </row>
    <row r="17">
      <c r="A17" s="46" t="s">
        <v>182</v>
      </c>
      <c r="B17" s="46">
        <f>IF($E$4="C1 - Diciembre",COUNTIF('Evaluación Cortes Semestrales'!$I$5:$I$68,"Pendiente"),IF($E$4="C2 - Abril",COUNTIF('Evaluación Cortes Semestrales'!$P$5:$P$68,"Pendiente"),COUNTIF('Evaluación Cortes Semestrales'!$W$5:$W$68,"Pendiente")))</f>
        <v>0</v>
      </c>
      <c r="C17" s="46"/>
      <c r="D17" s="46" t="s">
        <v>186</v>
      </c>
      <c r="E17" s="46">
        <f>IF($E$4="C1 - Diciembre",SUMPRODUCT(('Evaluación Cortes Semestrales'!$B$5:$B$68=D17)*('Evaluación Cortes Semestrales'!$I$5:$I$68="Cumple")),IF($E$4="C2 - Abril",SUMPRODUCT(('Evaluación Cortes Semestrales'!$B$5:$B$68=D17)*('Evaluación Cortes Semestrales'!$P$5:$P$68="Cumple")),SUMPRODUCT(('Evaluación Cortes Semestrales'!$B$5:$B$68=D17)*('Evaluación Cortes Semestrales'!$W$5:$W$68="Cumple"))))</f>
        <v>2</v>
      </c>
      <c r="F17" s="46">
        <f>IF($E$4="C1 - Diciembre",SUMPRODUCT(('Evaluación Cortes Semestrales'!$B$5:$B$68=D17)*('Evaluación Cortes Semestrales'!$I$5:$I$68="En riesgo")),IF($E$4="C2 - Abril",SUMPRODUCT(('Evaluación Cortes Semestrales'!$B$5:$B$68=D17)*('Evaluación Cortes Semestrales'!$P$5:$P$68="En riesgo")),SUMPRODUCT(('Evaluación Cortes Semestrales'!$B$5:$B$68=D17)*('Evaluación Cortes Semestrales'!$W$5:$W$68="En riesgo"))))</f>
        <v>0</v>
      </c>
      <c r="G17" s="46">
        <f>IF($E$4="C1 - Diciembre",SUMPRODUCT(('Evaluación Cortes Semestrales'!$B$5:$B$68=D17)*('Evaluación Cortes Semestrales'!$I$5:$I$68="No cumple")),IF($E$4="C2 - Abril",SUMPRODUCT(('Evaluación Cortes Semestrales'!$B$5:$B$68=D17)*('Evaluación Cortes Semestrales'!$P$5:$P$68="No cumple")),SUMPRODUCT(('Evaluación Cortes Semestrales'!$B$5:$B$68=D17)*('Evaluación Cortes Semestrales'!$W$5:$W$68="No cumple"))))</f>
        <v>0</v>
      </c>
      <c r="H17" s="46">
        <f>IF($E$4="C1 - Diciembre",SUMPRODUCT(('Evaluación Cortes Semestrales'!$B$5:$B$68=D17)*('Evaluación Cortes Semestrales'!$I$5:$I$68="Pendiente")),IF($E$4="C2 - Abril",SUMPRODUCT(('Evaluación Cortes Semestrales'!$B$5:$B$68=D17)*('Evaluación Cortes Semestrales'!$P$5:$P$68="Pendiente")),SUMPRODUCT(('Evaluación Cortes Semestrales'!$B$5:$B$68=D17)*('Evaluación Cortes Semestrales'!$W$5:$W$68="Pendiente"))))</f>
        <v>0</v>
      </c>
      <c r="I17" s="46"/>
      <c r="J17" s="46" t="s">
        <v>36</v>
      </c>
      <c r="K17" s="46">
        <f t="shared" si="1"/>
        <v>0</v>
      </c>
      <c r="L17" s="46"/>
      <c r="M17" s="46"/>
      <c r="N17" s="46"/>
    </row>
    <row r="18">
      <c r="A18" s="14" t="s">
        <v>229</v>
      </c>
      <c r="B18" s="14">
        <f>IF($E$4="C1 - Diciembre",COUNTIF('Evaluación Cortes Semestrales'!$H$5:$H$68,"Completo"),IF($E$4="C2 - Abril",COUNTIF('Evaluación Cortes Semestrales'!$O$5:$O$68,"Completo"),COUNTIF('Evaluación Cortes Semestrales'!$V$5:$V$68,"Completo")))</f>
        <v>4</v>
      </c>
      <c r="C18" s="14"/>
      <c r="D18" s="14" t="s">
        <v>239</v>
      </c>
      <c r="E18" s="14">
        <f>IF($E$4="C1 - Diciembre",SUMPRODUCT(('Evaluación Cortes Semestrales'!$B$5:$B$68=D18)*('Evaluación Cortes Semestrales'!$I$5:$I$68="Cumple")),IF($E$4="C2 - Abril",SUMPRODUCT(('Evaluación Cortes Semestrales'!$B$5:$B$68=D18)*('Evaluación Cortes Semestrales'!$P$5:$P$68="Cumple")),SUMPRODUCT(('Evaluación Cortes Semestrales'!$B$5:$B$68=D18)*('Evaluación Cortes Semestrales'!$W$5:$W$68="Cumple"))))</f>
        <v>0</v>
      </c>
      <c r="F18" s="14">
        <f>IF($E$4="C1 - Diciembre",SUMPRODUCT(('Evaluación Cortes Semestrales'!$B$5:$B$68=D18)*('Evaluación Cortes Semestrales'!$I$5:$I$68="En riesgo")),IF($E$4="C2 - Abril",SUMPRODUCT(('Evaluación Cortes Semestrales'!$B$5:$B$68=D18)*('Evaluación Cortes Semestrales'!$P$5:$P$68="En riesgo")),SUMPRODUCT(('Evaluación Cortes Semestrales'!$B$5:$B$68=D18)*('Evaluación Cortes Semestrales'!$W$5:$W$68="En riesgo"))))</f>
        <v>0</v>
      </c>
      <c r="G18" s="14">
        <f>IF($E$4="C1 - Diciembre",SUMPRODUCT(('Evaluación Cortes Semestrales'!$B$5:$B$68=D18)*('Evaluación Cortes Semestrales'!$I$5:$I$68="No cumple")),IF($E$4="C2 - Abril",SUMPRODUCT(('Evaluación Cortes Semestrales'!$B$5:$B$68=D18)*('Evaluación Cortes Semestrales'!$P$5:$P$68="No cumple")),SUMPRODUCT(('Evaluación Cortes Semestrales'!$B$5:$B$68=D18)*('Evaluación Cortes Semestrales'!$W$5:$W$68="No cumple"))))</f>
        <v>1</v>
      </c>
      <c r="H18" s="14">
        <f>IF($E$4="C1 - Diciembre",SUMPRODUCT(('Evaluación Cortes Semestrales'!$B$5:$B$68=D18)*('Evaluación Cortes Semestrales'!$I$5:$I$68="Pendiente")),IF($E$4="C2 - Abril",SUMPRODUCT(('Evaluación Cortes Semestrales'!$B$5:$B$68=D18)*('Evaluación Cortes Semestrales'!$P$5:$P$68="Pendiente")),SUMPRODUCT(('Evaluación Cortes Semestrales'!$B$5:$B$68=D18)*('Evaluación Cortes Semestrales'!$W$5:$W$68="Pendiente"))))</f>
        <v>0</v>
      </c>
      <c r="I18" s="14"/>
      <c r="J18" s="14"/>
      <c r="K18" s="14"/>
      <c r="L18" s="14"/>
      <c r="M18" s="14"/>
      <c r="N18" s="14"/>
    </row>
    <row r="19">
      <c r="A19" s="46"/>
      <c r="B19" s="46"/>
      <c r="C19" s="46"/>
      <c r="D19" s="46" t="s">
        <v>268</v>
      </c>
      <c r="E19" s="46">
        <f>IF($E$4="C1 - Diciembre",SUMPRODUCT(('Evaluación Cortes Semestrales'!$B$5:$B$68=D19)*('Evaluación Cortes Semestrales'!$I$5:$I$68="Cumple")),IF($E$4="C2 - Abril",SUMPRODUCT(('Evaluación Cortes Semestrales'!$B$5:$B$68=D19)*('Evaluación Cortes Semestrales'!$P$5:$P$68="Cumple")),SUMPRODUCT(('Evaluación Cortes Semestrales'!$B$5:$B$68=D19)*('Evaluación Cortes Semestrales'!$W$5:$W$68="Cumple"))))</f>
        <v>0</v>
      </c>
      <c r="F19" s="46">
        <f>IF($E$4="C1 - Diciembre",SUMPRODUCT(('Evaluación Cortes Semestrales'!$B$5:$B$68=D19)*('Evaluación Cortes Semestrales'!$I$5:$I$68="En riesgo")),IF($E$4="C2 - Abril",SUMPRODUCT(('Evaluación Cortes Semestrales'!$B$5:$B$68=D19)*('Evaluación Cortes Semestrales'!$P$5:$P$68="En riesgo")),SUMPRODUCT(('Evaluación Cortes Semestrales'!$B$5:$B$68=D19)*('Evaluación Cortes Semestrales'!$W$5:$W$68="En riesgo"))))</f>
        <v>0</v>
      </c>
      <c r="G19" s="46">
        <f>IF($E$4="C1 - Diciembre",SUMPRODUCT(('Evaluación Cortes Semestrales'!$B$5:$B$68=D19)*('Evaluación Cortes Semestrales'!$I$5:$I$68="No cumple")),IF($E$4="C2 - Abril",SUMPRODUCT(('Evaluación Cortes Semestrales'!$B$5:$B$68=D19)*('Evaluación Cortes Semestrales'!$P$5:$P$68="No cumple")),SUMPRODUCT(('Evaluación Cortes Semestrales'!$B$5:$B$68=D19)*('Evaluación Cortes Semestrales'!$W$5:$W$68="No cumple"))))</f>
        <v>0</v>
      </c>
      <c r="H19" s="46">
        <f>IF($E$4="C1 - Diciembre",SUMPRODUCT(('Evaluación Cortes Semestrales'!$B$5:$B$68=D19)*('Evaluación Cortes Semestrales'!$I$5:$I$68="Pendiente")),IF($E$4="C2 - Abril",SUMPRODUCT(('Evaluación Cortes Semestrales'!$B$5:$B$68=D19)*('Evaluación Cortes Semestrales'!$P$5:$P$68="Pendiente")),SUMPRODUCT(('Evaluación Cortes Semestrales'!$B$5:$B$68=D19)*('Evaluación Cortes Semestrales'!$W$5:$W$68="Pendiente"))))</f>
        <v>0</v>
      </c>
      <c r="I19" s="46"/>
      <c r="J19" s="46"/>
      <c r="K19" s="46"/>
      <c r="L19" s="46"/>
      <c r="M19" s="46"/>
      <c r="N19" s="46"/>
    </row>
    <row r="20">
      <c r="A20" s="14"/>
      <c r="B20" s="14"/>
      <c r="C20" s="14"/>
      <c r="D20" s="14" t="s">
        <v>295</v>
      </c>
      <c r="E20" s="14">
        <f>IF($E$4="C1 - Diciembre",SUMPRODUCT(('Evaluación Cortes Semestrales'!$B$5:$B$68=D20)*('Evaluación Cortes Semestrales'!$I$5:$I$68="Cumple")),IF($E$4="C2 - Abril",SUMPRODUCT(('Evaluación Cortes Semestrales'!$B$5:$B$68=D20)*('Evaluación Cortes Semestrales'!$P$5:$P$68="Cumple")),SUMPRODUCT(('Evaluación Cortes Semestrales'!$B$5:$B$68=D20)*('Evaluación Cortes Semestrales'!$W$5:$W$68="Cumple"))))</f>
        <v>0</v>
      </c>
      <c r="F20" s="14">
        <f>IF($E$4="C1 - Diciembre",SUMPRODUCT(('Evaluación Cortes Semestrales'!$B$5:$B$68=D20)*('Evaluación Cortes Semestrales'!$I$5:$I$68="En riesgo")),IF($E$4="C2 - Abril",SUMPRODUCT(('Evaluación Cortes Semestrales'!$B$5:$B$68=D20)*('Evaluación Cortes Semestrales'!$P$5:$P$68="En riesgo")),SUMPRODUCT(('Evaluación Cortes Semestrales'!$B$5:$B$68=D20)*('Evaluación Cortes Semestrales'!$W$5:$W$68="En riesgo"))))</f>
        <v>0</v>
      </c>
      <c r="G20" s="14">
        <f>IF($E$4="C1 - Diciembre",SUMPRODUCT(('Evaluación Cortes Semestrales'!$B$5:$B$68=D20)*('Evaluación Cortes Semestrales'!$I$5:$I$68="No cumple")),IF($E$4="C2 - Abril",SUMPRODUCT(('Evaluación Cortes Semestrales'!$B$5:$B$68=D20)*('Evaluación Cortes Semestrales'!$P$5:$P$68="No cumple")),SUMPRODUCT(('Evaluación Cortes Semestrales'!$B$5:$B$68=D20)*('Evaluación Cortes Semestrales'!$W$5:$W$68="No cumple"))))</f>
        <v>0</v>
      </c>
      <c r="H20" s="14">
        <f>IF($E$4="C1 - Diciembre",SUMPRODUCT(('Evaluación Cortes Semestrales'!$B$5:$B$68=D20)*('Evaluación Cortes Semestrales'!$I$5:$I$68="Pendiente")),IF($E$4="C2 - Abril",SUMPRODUCT(('Evaluación Cortes Semestrales'!$B$5:$B$68=D20)*('Evaluación Cortes Semestrales'!$P$5:$P$68="Pendiente")),SUMPRODUCT(('Evaluación Cortes Semestrales'!$B$5:$B$68=D20)*('Evaluación Cortes Semestrales'!$W$5:$W$68="Pendiente"))))</f>
        <v>0</v>
      </c>
      <c r="I20" s="14"/>
      <c r="J20" s="14"/>
      <c r="K20" s="14"/>
      <c r="L20" s="14"/>
      <c r="M20" s="14"/>
      <c r="N20" s="14"/>
    </row>
    <row r="21" ht="15.75" customHeight="1"/>
    <row r="22" ht="15.75" customHeight="1">
      <c r="J22" s="7" t="s">
        <v>317</v>
      </c>
    </row>
    <row r="23" ht="15.75" customHeight="1"/>
    <row r="24" ht="15.75" customHeight="1">
      <c r="J24" s="6" t="s">
        <v>14</v>
      </c>
      <c r="K24" s="6">
        <v>2.0</v>
      </c>
    </row>
    <row r="25" ht="15.75" customHeight="1">
      <c r="J25" s="6" t="s">
        <v>24</v>
      </c>
      <c r="K25" s="6">
        <v>3.0</v>
      </c>
    </row>
    <row r="26" ht="15.75" customHeight="1">
      <c r="J26" s="6" t="s">
        <v>33</v>
      </c>
      <c r="K26" s="6">
        <v>59.0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6:L6"/>
    <mergeCell ref="K7:L8"/>
    <mergeCell ref="A1:N1"/>
    <mergeCell ref="B6:C6"/>
    <mergeCell ref="E6:F6"/>
    <mergeCell ref="H6:I6"/>
    <mergeCell ref="B7:C8"/>
    <mergeCell ref="E7:F8"/>
    <mergeCell ref="H7:I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8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>
      <c r="A2" s="6" t="s">
        <v>8</v>
      </c>
      <c r="B2" s="6" t="s">
        <v>10</v>
      </c>
      <c r="C2" s="6" t="s">
        <v>11</v>
      </c>
      <c r="D2" s="6" t="s">
        <v>12</v>
      </c>
      <c r="E2" s="6" t="s">
        <v>14</v>
      </c>
      <c r="F2" s="6" t="s">
        <v>15</v>
      </c>
    </row>
    <row r="3">
      <c r="A3" s="6" t="s">
        <v>16</v>
      </c>
      <c r="B3" s="6" t="s">
        <v>18</v>
      </c>
      <c r="C3" s="6" t="s">
        <v>20</v>
      </c>
      <c r="D3" s="6" t="s">
        <v>21</v>
      </c>
      <c r="E3" s="6" t="s">
        <v>24</v>
      </c>
      <c r="F3" s="6" t="s">
        <v>25</v>
      </c>
    </row>
    <row r="4">
      <c r="A4" s="6" t="s">
        <v>27</v>
      </c>
      <c r="B4" s="6" t="s">
        <v>28</v>
      </c>
      <c r="C4" s="6" t="s">
        <v>29</v>
      </c>
      <c r="D4" s="6" t="s">
        <v>31</v>
      </c>
      <c r="E4" s="6" t="s">
        <v>33</v>
      </c>
      <c r="F4" s="6" t="s">
        <v>34</v>
      </c>
    </row>
    <row r="5">
      <c r="A5" s="6" t="s">
        <v>36</v>
      </c>
      <c r="B5" s="6" t="s">
        <v>37</v>
      </c>
      <c r="D5" s="6" t="s">
        <v>40</v>
      </c>
      <c r="F5" s="6" t="s">
        <v>41</v>
      </c>
    </row>
    <row r="6">
      <c r="F6" s="6" t="s">
        <v>42</v>
      </c>
    </row>
    <row r="7">
      <c r="F7" s="6" t="s">
        <v>44</v>
      </c>
    </row>
    <row r="8">
      <c r="F8" s="6" t="s">
        <v>46</v>
      </c>
    </row>
    <row r="9">
      <c r="F9" s="6" t="s">
        <v>47</v>
      </c>
    </row>
    <row r="10">
      <c r="F10" s="6" t="s">
        <v>48</v>
      </c>
    </row>
    <row r="11">
      <c r="F11" s="6" t="s">
        <v>49</v>
      </c>
    </row>
    <row r="12">
      <c r="F12" s="6" t="s">
        <v>51</v>
      </c>
    </row>
    <row r="13">
      <c r="F13" s="6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44.0"/>
    <col customWidth="1" min="4" max="26" width="8.71"/>
  </cols>
  <sheetData>
    <row r="1" ht="24.0" customHeight="1">
      <c r="A1" s="2" t="s">
        <v>1</v>
      </c>
      <c r="B1" s="3"/>
      <c r="C1" s="3"/>
      <c r="D1" s="3"/>
      <c r="E1" s="3"/>
      <c r="F1" s="4"/>
    </row>
    <row r="3">
      <c r="A3" s="7" t="s">
        <v>9</v>
      </c>
    </row>
    <row r="5">
      <c r="A5" s="8" t="s">
        <v>13</v>
      </c>
    </row>
    <row r="7">
      <c r="A7" s="8" t="s">
        <v>17</v>
      </c>
    </row>
    <row r="9">
      <c r="A9" s="8" t="s">
        <v>22</v>
      </c>
    </row>
    <row r="11">
      <c r="A11" s="8" t="s">
        <v>26</v>
      </c>
    </row>
    <row r="13">
      <c r="A13" s="8" t="s">
        <v>30</v>
      </c>
    </row>
    <row r="15">
      <c r="A15" s="8" t="s">
        <v>35</v>
      </c>
    </row>
    <row r="17">
      <c r="A17" s="8" t="s">
        <v>38</v>
      </c>
    </row>
    <row r="21" ht="15.75" customHeight="1">
      <c r="A21" s="7" t="s">
        <v>39</v>
      </c>
    </row>
    <row r="22" ht="15.75" customHeight="1"/>
    <row r="23" ht="15.75" customHeight="1">
      <c r="A23" s="12" t="s">
        <v>5</v>
      </c>
      <c r="B23" s="12" t="s">
        <v>43</v>
      </c>
      <c r="C23" s="12" t="s">
        <v>45</v>
      </c>
    </row>
    <row r="24" ht="15.75" customHeight="1">
      <c r="A24" s="13" t="s">
        <v>14</v>
      </c>
      <c r="B24" s="13" t="s">
        <v>50</v>
      </c>
      <c r="C24" s="13" t="s">
        <v>52</v>
      </c>
    </row>
    <row r="25" ht="15.75" customHeight="1">
      <c r="A25" s="13" t="s">
        <v>24</v>
      </c>
      <c r="B25" s="13" t="s">
        <v>54</v>
      </c>
      <c r="C25" s="13" t="s">
        <v>55</v>
      </c>
    </row>
    <row r="26" ht="15.75" customHeight="1">
      <c r="A26" s="13" t="s">
        <v>33</v>
      </c>
      <c r="B26" s="13" t="s">
        <v>56</v>
      </c>
      <c r="C26" s="13" t="s">
        <v>57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46.0"/>
    <col customWidth="1" min="4" max="13" width="7.0"/>
    <col customWidth="1" min="14" max="26" width="8.71"/>
  </cols>
  <sheetData>
    <row r="1">
      <c r="A1" s="5" t="s">
        <v>6</v>
      </c>
      <c r="B1" s="3"/>
      <c r="C1" s="3"/>
      <c r="D1" s="3"/>
      <c r="E1" s="3"/>
      <c r="F1" s="3"/>
      <c r="G1" s="3"/>
      <c r="H1" s="3"/>
      <c r="I1" s="3"/>
      <c r="J1" s="4"/>
    </row>
    <row r="3">
      <c r="A3" s="7" t="s">
        <v>19</v>
      </c>
      <c r="B3" s="9" t="s">
        <v>23</v>
      </c>
    </row>
    <row r="6">
      <c r="A6" s="10" t="s">
        <v>32</v>
      </c>
      <c r="B6" s="11" t="s">
        <v>15</v>
      </c>
      <c r="C6" s="11" t="s">
        <v>25</v>
      </c>
      <c r="D6" s="11" t="s">
        <v>34</v>
      </c>
      <c r="E6" s="11" t="s">
        <v>41</v>
      </c>
      <c r="F6" s="11" t="s">
        <v>42</v>
      </c>
      <c r="G6" s="11" t="s">
        <v>44</v>
      </c>
      <c r="H6" s="11" t="s">
        <v>46</v>
      </c>
      <c r="I6" s="11" t="s">
        <v>47</v>
      </c>
      <c r="J6" s="11" t="s">
        <v>48</v>
      </c>
      <c r="K6" s="11" t="s">
        <v>49</v>
      </c>
      <c r="L6" s="11" t="s">
        <v>51</v>
      </c>
      <c r="M6" s="11" t="s">
        <v>53</v>
      </c>
    </row>
    <row r="7">
      <c r="A7" s="14" t="s">
        <v>58</v>
      </c>
      <c r="B7" s="15" t="s">
        <v>59</v>
      </c>
      <c r="C7" s="15" t="s">
        <v>59</v>
      </c>
      <c r="D7" s="15" t="s">
        <v>59</v>
      </c>
      <c r="E7" s="15" t="s">
        <v>59</v>
      </c>
      <c r="F7" s="15" t="s">
        <v>59</v>
      </c>
      <c r="G7" s="15" t="s">
        <v>59</v>
      </c>
      <c r="H7" s="15" t="s">
        <v>59</v>
      </c>
      <c r="I7" s="15" t="s">
        <v>59</v>
      </c>
      <c r="J7" s="15" t="s">
        <v>59</v>
      </c>
      <c r="K7" s="15" t="s">
        <v>59</v>
      </c>
      <c r="L7" s="15" t="s">
        <v>59</v>
      </c>
      <c r="M7" s="15" t="s">
        <v>59</v>
      </c>
    </row>
    <row r="8">
      <c r="A8" s="14" t="s">
        <v>60</v>
      </c>
      <c r="B8" s="14"/>
      <c r="C8" s="14"/>
      <c r="D8" s="14"/>
      <c r="E8" s="15" t="s">
        <v>61</v>
      </c>
      <c r="F8" s="14"/>
      <c r="G8" s="15" t="s">
        <v>62</v>
      </c>
      <c r="H8" s="14"/>
      <c r="I8" s="14"/>
      <c r="J8" s="14"/>
      <c r="K8" s="14"/>
      <c r="L8" s="14"/>
      <c r="M8" s="15" t="s">
        <v>63</v>
      </c>
    </row>
    <row r="9">
      <c r="A9" s="14" t="s">
        <v>64</v>
      </c>
      <c r="B9" s="15" t="s">
        <v>65</v>
      </c>
      <c r="C9" s="15" t="s">
        <v>59</v>
      </c>
      <c r="D9" s="15" t="s">
        <v>59</v>
      </c>
      <c r="E9" s="15" t="s">
        <v>59</v>
      </c>
      <c r="F9" s="15" t="s">
        <v>59</v>
      </c>
      <c r="G9" s="15" t="s">
        <v>59</v>
      </c>
      <c r="H9" s="15" t="s">
        <v>59</v>
      </c>
      <c r="I9" s="15" t="s">
        <v>59</v>
      </c>
      <c r="J9" s="15" t="s">
        <v>59</v>
      </c>
      <c r="K9" s="15" t="s">
        <v>59</v>
      </c>
      <c r="L9" s="15" t="s">
        <v>59</v>
      </c>
      <c r="M9" s="15" t="s">
        <v>66</v>
      </c>
    </row>
    <row r="10">
      <c r="A10" s="14" t="s">
        <v>68</v>
      </c>
      <c r="B10" s="14"/>
      <c r="C10" s="14"/>
      <c r="D10" s="14"/>
      <c r="E10" s="16" t="s">
        <v>69</v>
      </c>
      <c r="F10" s="14"/>
      <c r="G10" s="14"/>
      <c r="H10" s="14"/>
      <c r="I10" s="14"/>
      <c r="J10" s="14"/>
      <c r="K10" s="14"/>
      <c r="L10" s="14"/>
      <c r="M10" s="14"/>
    </row>
    <row r="11">
      <c r="A11" s="14" t="s">
        <v>74</v>
      </c>
      <c r="B11" s="14"/>
      <c r="C11" s="14"/>
      <c r="D11" s="14"/>
      <c r="E11" s="14"/>
      <c r="F11" s="14"/>
      <c r="G11" s="14"/>
      <c r="H11" s="14"/>
      <c r="I11" s="16" t="s">
        <v>69</v>
      </c>
      <c r="J11" s="14"/>
      <c r="K11" s="14"/>
      <c r="L11" s="14"/>
      <c r="M11" s="14"/>
    </row>
    <row r="12">
      <c r="A12" s="14" t="s">
        <v>77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6" t="s">
        <v>69</v>
      </c>
    </row>
    <row r="15">
      <c r="A15" s="7" t="s">
        <v>78</v>
      </c>
    </row>
    <row r="17">
      <c r="A17" s="12" t="s">
        <v>3</v>
      </c>
      <c r="B17" s="12" t="s">
        <v>79</v>
      </c>
      <c r="C17" s="12" t="s">
        <v>80</v>
      </c>
    </row>
    <row r="18">
      <c r="A18" s="13" t="s">
        <v>11</v>
      </c>
      <c r="B18" s="13" t="s">
        <v>81</v>
      </c>
      <c r="C18" s="13" t="s">
        <v>82</v>
      </c>
    </row>
    <row r="19">
      <c r="A19" s="13" t="s">
        <v>20</v>
      </c>
      <c r="B19" s="13" t="s">
        <v>86</v>
      </c>
      <c r="C19" s="13" t="s">
        <v>88</v>
      </c>
    </row>
    <row r="20">
      <c r="A20" s="13" t="s">
        <v>29</v>
      </c>
      <c r="B20" s="13" t="s">
        <v>91</v>
      </c>
      <c r="C20" s="13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2" max="2" width="18.86"/>
    <col customWidth="1" min="3" max="3" width="7.57"/>
    <col customWidth="1" min="4" max="4" width="12.0"/>
    <col customWidth="1" min="6" max="6" width="40.43"/>
    <col customWidth="1" min="7" max="7" width="25.14"/>
    <col customWidth="1" min="8" max="8" width="10.43"/>
    <col customWidth="1" hidden="1" min="9" max="9" width="25.14"/>
    <col customWidth="1" min="10" max="10" width="25.14"/>
    <col customWidth="1" hidden="1" min="11" max="11" width="25.14"/>
    <col customWidth="1" min="12" max="12" width="15.86"/>
    <col customWidth="1" min="13" max="13" width="11.14"/>
    <col customWidth="1" min="14" max="14" width="21.71"/>
    <col customWidth="1" min="15" max="15" width="39.43"/>
    <col customWidth="1" hidden="1" min="16" max="16" width="11.57"/>
    <col customWidth="1" min="17" max="17" width="21.71"/>
    <col customWidth="1" min="18" max="18" width="8.43"/>
    <col customWidth="1" min="19" max="19" width="16.71"/>
    <col customWidth="1" min="22" max="22" width="18.86"/>
  </cols>
  <sheetData>
    <row r="1">
      <c r="A1" s="26" t="s">
        <v>94</v>
      </c>
      <c r="T1" s="27"/>
      <c r="U1" s="27"/>
      <c r="V1" s="27"/>
      <c r="W1" s="27"/>
      <c r="X1" s="27"/>
      <c r="Y1" s="27"/>
    </row>
    <row r="2" ht="33.75" customHeight="1">
      <c r="T2" s="27"/>
      <c r="U2" s="27"/>
      <c r="V2" s="27"/>
      <c r="W2" s="27"/>
      <c r="X2" s="27"/>
      <c r="Y2" s="27"/>
    </row>
    <row r="3">
      <c r="A3" s="29" t="s">
        <v>97</v>
      </c>
      <c r="B3" s="29" t="s">
        <v>99</v>
      </c>
      <c r="C3" s="29" t="s">
        <v>100</v>
      </c>
      <c r="D3" s="29" t="s">
        <v>101</v>
      </c>
      <c r="E3" s="29" t="s">
        <v>102</v>
      </c>
      <c r="F3" s="29" t="s">
        <v>103</v>
      </c>
      <c r="G3" s="29" t="s">
        <v>104</v>
      </c>
      <c r="H3" s="29" t="s">
        <v>105</v>
      </c>
      <c r="I3" s="29" t="s">
        <v>106</v>
      </c>
      <c r="J3" s="29" t="s">
        <v>107</v>
      </c>
      <c r="K3" s="29" t="s">
        <v>108</v>
      </c>
      <c r="L3" s="29" t="s">
        <v>109</v>
      </c>
      <c r="M3" s="29" t="s">
        <v>110</v>
      </c>
      <c r="N3" s="29" t="s">
        <v>111</v>
      </c>
      <c r="O3" s="30" t="s">
        <v>112</v>
      </c>
      <c r="P3" s="29" t="s">
        <v>113</v>
      </c>
      <c r="Q3" s="29" t="s">
        <v>114</v>
      </c>
      <c r="R3" s="29"/>
      <c r="S3" s="29" t="s">
        <v>115</v>
      </c>
      <c r="T3" s="32"/>
      <c r="U3" s="32"/>
      <c r="V3" s="32"/>
      <c r="W3" s="32"/>
      <c r="X3" s="32"/>
      <c r="Y3" s="32"/>
    </row>
    <row r="4">
      <c r="A4" s="35" t="s">
        <v>116</v>
      </c>
      <c r="B4" s="38" t="s">
        <v>117</v>
      </c>
      <c r="C4" s="39">
        <v>1.0</v>
      </c>
      <c r="D4" s="39" t="s">
        <v>121</v>
      </c>
      <c r="E4" s="40" t="s">
        <v>123</v>
      </c>
      <c r="F4" s="41" t="s">
        <v>126</v>
      </c>
      <c r="G4" s="39" t="s">
        <v>127</v>
      </c>
      <c r="H4" s="43" t="s">
        <v>128</v>
      </c>
      <c r="I4" s="39" t="s">
        <v>130</v>
      </c>
      <c r="J4" s="39" t="s">
        <v>132</v>
      </c>
      <c r="K4" s="40" t="s">
        <v>134</v>
      </c>
      <c r="L4" s="39" t="s">
        <v>136</v>
      </c>
      <c r="M4" s="39" t="s">
        <v>24</v>
      </c>
      <c r="N4" s="49">
        <f>11/11</f>
        <v>1</v>
      </c>
      <c r="O4" s="50" t="s">
        <v>139</v>
      </c>
      <c r="P4" s="51"/>
      <c r="Q4" s="39" t="s">
        <v>142</v>
      </c>
      <c r="R4" s="40" t="b">
        <v>1</v>
      </c>
      <c r="S4" s="52"/>
      <c r="T4" s="27"/>
      <c r="U4" s="27"/>
      <c r="V4" s="27"/>
      <c r="W4" s="27"/>
      <c r="X4" s="27"/>
      <c r="Y4" s="27"/>
    </row>
    <row r="5">
      <c r="A5" s="53"/>
      <c r="B5" s="53"/>
      <c r="C5" s="39">
        <v>2.0</v>
      </c>
      <c r="D5" s="39" t="s">
        <v>144</v>
      </c>
      <c r="E5" s="40" t="s">
        <v>123</v>
      </c>
      <c r="F5" s="41" t="s">
        <v>145</v>
      </c>
      <c r="G5" s="39" t="s">
        <v>146</v>
      </c>
      <c r="H5" s="43" t="s">
        <v>148</v>
      </c>
      <c r="I5" s="39" t="s">
        <v>150</v>
      </c>
      <c r="J5" s="39" t="s">
        <v>151</v>
      </c>
      <c r="K5" s="40" t="s">
        <v>152</v>
      </c>
      <c r="L5" s="39" t="s">
        <v>153</v>
      </c>
      <c r="M5" s="39" t="s">
        <v>33</v>
      </c>
      <c r="N5" s="54">
        <v>0.91</v>
      </c>
      <c r="O5" s="55" t="s">
        <v>154</v>
      </c>
      <c r="P5" s="51"/>
      <c r="Q5" s="39" t="s">
        <v>142</v>
      </c>
      <c r="R5" s="40" t="b">
        <v>1</v>
      </c>
      <c r="S5" s="52"/>
      <c r="T5" s="57" t="s">
        <v>114</v>
      </c>
      <c r="U5" s="57" t="s">
        <v>161</v>
      </c>
      <c r="V5" s="57" t="s">
        <v>163</v>
      </c>
      <c r="W5" s="58" t="s">
        <v>111</v>
      </c>
    </row>
    <row r="6">
      <c r="A6" s="53"/>
      <c r="B6" s="53"/>
      <c r="C6" s="39">
        <v>3.0</v>
      </c>
      <c r="D6" s="39" t="s">
        <v>166</v>
      </c>
      <c r="E6" s="40" t="s">
        <v>123</v>
      </c>
      <c r="F6" s="41" t="s">
        <v>167</v>
      </c>
      <c r="G6" s="39" t="s">
        <v>168</v>
      </c>
      <c r="H6" s="43" t="s">
        <v>169</v>
      </c>
      <c r="I6" s="39" t="s">
        <v>150</v>
      </c>
      <c r="J6" s="39" t="s">
        <v>170</v>
      </c>
      <c r="K6" s="40" t="s">
        <v>152</v>
      </c>
      <c r="L6" s="39" t="s">
        <v>136</v>
      </c>
      <c r="M6" s="39" t="s">
        <v>33</v>
      </c>
      <c r="N6" s="54">
        <v>0.56</v>
      </c>
      <c r="O6" s="62" t="s">
        <v>171</v>
      </c>
      <c r="P6" s="51"/>
      <c r="Q6" s="39" t="s">
        <v>177</v>
      </c>
      <c r="R6" s="40" t="b">
        <v>1</v>
      </c>
      <c r="S6" s="52"/>
      <c r="T6" s="63" t="s">
        <v>142</v>
      </c>
      <c r="U6" s="64" t="s">
        <v>179</v>
      </c>
      <c r="V6" s="65" t="s">
        <v>180</v>
      </c>
      <c r="W6" s="68">
        <f>COUNTIF($Q$4:$Q40,"Cumplido")</f>
        <v>18</v>
      </c>
    </row>
    <row r="7">
      <c r="A7" s="53"/>
      <c r="B7" s="53"/>
      <c r="C7" s="39">
        <v>4.0</v>
      </c>
      <c r="D7" s="39" t="s">
        <v>187</v>
      </c>
      <c r="E7" s="40" t="s">
        <v>188</v>
      </c>
      <c r="F7" s="41" t="s">
        <v>189</v>
      </c>
      <c r="G7" s="39" t="s">
        <v>190</v>
      </c>
      <c r="H7" s="43" t="s">
        <v>191</v>
      </c>
      <c r="I7" s="39" t="s">
        <v>193</v>
      </c>
      <c r="J7" s="39" t="s">
        <v>194</v>
      </c>
      <c r="K7" s="40" t="s">
        <v>137</v>
      </c>
      <c r="L7" s="39" t="s">
        <v>136</v>
      </c>
      <c r="M7" s="39" t="s">
        <v>33</v>
      </c>
      <c r="N7" s="39" t="s">
        <v>198</v>
      </c>
      <c r="O7" s="50" t="s">
        <v>200</v>
      </c>
      <c r="P7" s="51"/>
      <c r="Q7" s="39" t="s">
        <v>142</v>
      </c>
      <c r="R7" s="40" t="b">
        <v>1</v>
      </c>
      <c r="S7" s="52"/>
      <c r="T7" s="72" t="s">
        <v>211</v>
      </c>
      <c r="U7" s="64" t="s">
        <v>214</v>
      </c>
      <c r="V7" s="65" t="s">
        <v>215</v>
      </c>
      <c r="W7" s="68">
        <f>COUNTIF($Q$4:$Q40,"Parcialmente cumplido")</f>
        <v>5</v>
      </c>
    </row>
    <row r="8">
      <c r="A8" s="53"/>
      <c r="B8" s="53"/>
      <c r="C8" s="39">
        <v>5.0</v>
      </c>
      <c r="D8" s="39" t="s">
        <v>220</v>
      </c>
      <c r="E8" s="40" t="s">
        <v>188</v>
      </c>
      <c r="F8" s="41" t="s">
        <v>221</v>
      </c>
      <c r="G8" s="39" t="s">
        <v>223</v>
      </c>
      <c r="H8" s="43" t="s">
        <v>224</v>
      </c>
      <c r="I8" s="39" t="s">
        <v>150</v>
      </c>
      <c r="J8" s="39" t="s">
        <v>226</v>
      </c>
      <c r="K8" s="40" t="s">
        <v>227</v>
      </c>
      <c r="L8" s="39" t="s">
        <v>230</v>
      </c>
      <c r="M8" s="39" t="s">
        <v>24</v>
      </c>
      <c r="N8" s="39">
        <v>21.0</v>
      </c>
      <c r="O8" s="78" t="s">
        <v>231</v>
      </c>
      <c r="P8" s="39">
        <v>0.0</v>
      </c>
      <c r="Q8" s="39" t="s">
        <v>142</v>
      </c>
      <c r="R8" s="40" t="b">
        <v>1</v>
      </c>
      <c r="S8" s="52"/>
      <c r="T8" s="81" t="s">
        <v>242</v>
      </c>
      <c r="U8" s="64" t="s">
        <v>243</v>
      </c>
      <c r="V8" s="65" t="s">
        <v>244</v>
      </c>
      <c r="W8" s="68">
        <f>COUNTIF($Q$4:$Q40,"No cumplido")</f>
        <v>11</v>
      </c>
    </row>
    <row r="9">
      <c r="A9" s="82"/>
      <c r="B9" s="82"/>
      <c r="C9" s="39">
        <v>6.0</v>
      </c>
      <c r="D9" s="39" t="s">
        <v>249</v>
      </c>
      <c r="E9" s="40" t="s">
        <v>250</v>
      </c>
      <c r="F9" s="41" t="s">
        <v>251</v>
      </c>
      <c r="G9" s="39" t="s">
        <v>252</v>
      </c>
      <c r="H9" s="43" t="s">
        <v>254</v>
      </c>
      <c r="I9" s="39" t="s">
        <v>150</v>
      </c>
      <c r="J9" s="39" t="s">
        <v>256</v>
      </c>
      <c r="K9" s="40" t="s">
        <v>137</v>
      </c>
      <c r="L9" s="39" t="s">
        <v>136</v>
      </c>
      <c r="M9" s="39" t="s">
        <v>33</v>
      </c>
      <c r="N9" s="39">
        <v>11.0</v>
      </c>
      <c r="O9" s="78" t="s">
        <v>259</v>
      </c>
      <c r="P9" s="51"/>
      <c r="Q9" s="39" t="s">
        <v>142</v>
      </c>
      <c r="R9" s="40" t="b">
        <v>1</v>
      </c>
      <c r="S9" s="52"/>
      <c r="T9" s="85" t="s">
        <v>263</v>
      </c>
      <c r="U9" s="65" t="s">
        <v>264</v>
      </c>
      <c r="V9" s="65" t="s">
        <v>265</v>
      </c>
      <c r="W9" s="68">
        <f>COUNTIF($Q$4:$Q40,"Sin datos")</f>
        <v>0</v>
      </c>
    </row>
    <row r="10">
      <c r="A10" s="35" t="s">
        <v>272</v>
      </c>
      <c r="B10" s="38" t="s">
        <v>273</v>
      </c>
      <c r="C10" s="39">
        <v>1.0</v>
      </c>
      <c r="D10" s="39" t="s">
        <v>276</v>
      </c>
      <c r="E10" s="40" t="s">
        <v>277</v>
      </c>
      <c r="F10" s="41" t="s">
        <v>278</v>
      </c>
      <c r="G10" s="39" t="s">
        <v>279</v>
      </c>
      <c r="H10" s="43" t="s">
        <v>191</v>
      </c>
      <c r="I10" s="39" t="s">
        <v>281</v>
      </c>
      <c r="J10" s="39" t="s">
        <v>282</v>
      </c>
      <c r="K10" s="40" t="s">
        <v>284</v>
      </c>
      <c r="L10" s="39" t="s">
        <v>136</v>
      </c>
      <c r="M10" s="39" t="s">
        <v>287</v>
      </c>
      <c r="N10" s="90" t="s">
        <v>288</v>
      </c>
      <c r="O10" s="92" t="s">
        <v>289</v>
      </c>
      <c r="P10" s="51"/>
      <c r="Q10" s="39" t="s">
        <v>142</v>
      </c>
      <c r="R10" s="40" t="b">
        <v>1</v>
      </c>
      <c r="S10" s="52"/>
      <c r="T10" s="94" t="s">
        <v>293</v>
      </c>
      <c r="U10" s="65" t="s">
        <v>294</v>
      </c>
      <c r="V10" s="65" t="s">
        <v>296</v>
      </c>
      <c r="W10" s="64">
        <f>COUNTIF($Q$4:$Q40,"No aplicable / cohorte no madura")</f>
        <v>0</v>
      </c>
    </row>
    <row r="11">
      <c r="A11" s="53"/>
      <c r="B11" s="53"/>
      <c r="C11" s="39">
        <v>2.0</v>
      </c>
      <c r="D11" s="39" t="s">
        <v>299</v>
      </c>
      <c r="E11" s="40" t="s">
        <v>188</v>
      </c>
      <c r="F11" s="41" t="s">
        <v>300</v>
      </c>
      <c r="G11" s="39" t="s">
        <v>301</v>
      </c>
      <c r="H11" s="43" t="s">
        <v>302</v>
      </c>
      <c r="I11" s="39" t="s">
        <v>150</v>
      </c>
      <c r="J11" s="39" t="s">
        <v>305</v>
      </c>
      <c r="K11" s="40" t="s">
        <v>306</v>
      </c>
      <c r="L11" s="39" t="s">
        <v>136</v>
      </c>
      <c r="M11" s="39" t="s">
        <v>33</v>
      </c>
      <c r="N11" s="97">
        <v>1.0</v>
      </c>
      <c r="O11" s="98" t="s">
        <v>307</v>
      </c>
      <c r="P11" s="51"/>
      <c r="Q11" s="39" t="s">
        <v>142</v>
      </c>
      <c r="R11" s="40" t="b">
        <v>1</v>
      </c>
      <c r="S11" s="52"/>
      <c r="T11" s="27"/>
      <c r="U11" s="27"/>
      <c r="V11" s="27"/>
      <c r="W11" s="27"/>
      <c r="X11" s="27"/>
      <c r="Y11" s="27"/>
    </row>
    <row r="12">
      <c r="A12" s="53"/>
      <c r="B12" s="53"/>
      <c r="C12" s="39">
        <v>3.0</v>
      </c>
      <c r="D12" s="39" t="s">
        <v>312</v>
      </c>
      <c r="E12" s="40" t="s">
        <v>188</v>
      </c>
      <c r="F12" s="41" t="s">
        <v>313</v>
      </c>
      <c r="G12" s="39" t="s">
        <v>315</v>
      </c>
      <c r="H12" s="43" t="s">
        <v>316</v>
      </c>
      <c r="I12" s="39" t="s">
        <v>150</v>
      </c>
      <c r="J12" s="39" t="s">
        <v>318</v>
      </c>
      <c r="K12" s="40" t="s">
        <v>319</v>
      </c>
      <c r="L12" s="39" t="s">
        <v>136</v>
      </c>
      <c r="M12" s="39" t="s">
        <v>33</v>
      </c>
      <c r="N12" s="101">
        <f>42/45</f>
        <v>0.9333333333</v>
      </c>
      <c r="O12" s="50" t="s">
        <v>324</v>
      </c>
      <c r="P12" s="51"/>
      <c r="Q12" s="39" t="s">
        <v>142</v>
      </c>
      <c r="R12" s="40" t="b">
        <v>1</v>
      </c>
      <c r="S12" s="52"/>
      <c r="T12" s="102" t="s">
        <v>332</v>
      </c>
      <c r="U12" s="103"/>
      <c r="X12" s="27"/>
      <c r="Y12" s="27" t="str">
        <f>IFERROR(__xludf.DUMMYFUNCTION("SPARKLINE(COUNTIF($Q$4:$Q$9,""Sin datos""),{""charttype"",""bar"";""max"",6;""color1"",""#9AA0A6""})"),"")</f>
        <v/>
      </c>
    </row>
    <row r="13" ht="32.25" customHeight="1">
      <c r="A13" s="53"/>
      <c r="B13" s="53"/>
      <c r="C13" s="39">
        <v>4.0</v>
      </c>
      <c r="D13" s="39" t="s">
        <v>335</v>
      </c>
      <c r="E13" s="40" t="s">
        <v>250</v>
      </c>
      <c r="F13" s="41" t="s">
        <v>336</v>
      </c>
      <c r="G13" s="39" t="s">
        <v>338</v>
      </c>
      <c r="H13" s="43" t="s">
        <v>339</v>
      </c>
      <c r="I13" s="39" t="s">
        <v>150</v>
      </c>
      <c r="J13" s="39" t="s">
        <v>340</v>
      </c>
      <c r="K13" s="40" t="s">
        <v>137</v>
      </c>
      <c r="L13" s="39" t="s">
        <v>136</v>
      </c>
      <c r="M13" s="39" t="s">
        <v>33</v>
      </c>
      <c r="N13" s="104" t="s">
        <v>341</v>
      </c>
      <c r="O13" s="106" t="s">
        <v>342</v>
      </c>
      <c r="P13" s="51"/>
      <c r="Q13" s="39" t="s">
        <v>142</v>
      </c>
      <c r="R13" s="40" t="b">
        <v>1</v>
      </c>
      <c r="S13" s="52"/>
      <c r="T13" s="102" t="s">
        <v>202</v>
      </c>
      <c r="U13" s="103"/>
      <c r="X13" s="27"/>
      <c r="Y13" s="27"/>
    </row>
    <row r="14">
      <c r="A14" s="82"/>
      <c r="B14" s="82"/>
      <c r="C14" s="39">
        <v>5.0</v>
      </c>
      <c r="D14" s="39" t="s">
        <v>352</v>
      </c>
      <c r="E14" s="40" t="s">
        <v>250</v>
      </c>
      <c r="F14" s="41" t="s">
        <v>353</v>
      </c>
      <c r="G14" s="39" t="s">
        <v>355</v>
      </c>
      <c r="H14" s="43" t="s">
        <v>357</v>
      </c>
      <c r="I14" s="39" t="s">
        <v>150</v>
      </c>
      <c r="J14" s="39" t="s">
        <v>360</v>
      </c>
      <c r="K14" s="40" t="s">
        <v>137</v>
      </c>
      <c r="L14" s="39" t="s">
        <v>136</v>
      </c>
      <c r="M14" s="39" t="s">
        <v>33</v>
      </c>
      <c r="N14" s="97">
        <f>28/68</f>
        <v>0.4117647059</v>
      </c>
      <c r="O14" s="98" t="s">
        <v>366</v>
      </c>
      <c r="P14" s="51"/>
      <c r="Q14" s="39" t="s">
        <v>142</v>
      </c>
      <c r="R14" s="40" t="b">
        <v>1</v>
      </c>
      <c r="S14" s="52"/>
      <c r="T14" s="102" t="s">
        <v>372</v>
      </c>
      <c r="U14" s="103"/>
      <c r="X14" s="27"/>
      <c r="Y14" s="27"/>
    </row>
    <row r="15" ht="45.0" customHeight="1">
      <c r="A15" s="35" t="s">
        <v>373</v>
      </c>
      <c r="B15" s="38" t="s">
        <v>375</v>
      </c>
      <c r="C15" s="39">
        <v>1.0</v>
      </c>
      <c r="D15" s="39" t="s">
        <v>377</v>
      </c>
      <c r="E15" s="40" t="s">
        <v>277</v>
      </c>
      <c r="F15" s="41" t="s">
        <v>378</v>
      </c>
      <c r="G15" s="39" t="s">
        <v>379</v>
      </c>
      <c r="H15" s="43" t="s">
        <v>380</v>
      </c>
      <c r="I15" s="39" t="s">
        <v>381</v>
      </c>
      <c r="J15" s="39" t="s">
        <v>382</v>
      </c>
      <c r="K15" s="40" t="s">
        <v>383</v>
      </c>
      <c r="L15" s="39" t="s">
        <v>153</v>
      </c>
      <c r="M15" s="39" t="s">
        <v>33</v>
      </c>
      <c r="N15" s="54">
        <v>0.92</v>
      </c>
      <c r="O15" s="112" t="s">
        <v>384</v>
      </c>
      <c r="P15" s="51"/>
      <c r="Q15" s="39" t="s">
        <v>142</v>
      </c>
      <c r="R15" s="40" t="b">
        <v>1</v>
      </c>
      <c r="S15" s="52"/>
      <c r="T15" s="102" t="s">
        <v>225</v>
      </c>
      <c r="U15" s="103"/>
      <c r="X15" s="27"/>
      <c r="Y15" s="27"/>
    </row>
    <row r="16" ht="55.5" customHeight="1">
      <c r="A16" s="53"/>
      <c r="B16" s="53"/>
      <c r="C16" s="39">
        <v>2.0</v>
      </c>
      <c r="D16" s="39" t="s">
        <v>390</v>
      </c>
      <c r="E16" s="40" t="s">
        <v>277</v>
      </c>
      <c r="F16" s="41" t="s">
        <v>391</v>
      </c>
      <c r="G16" s="39" t="s">
        <v>392</v>
      </c>
      <c r="H16" s="43" t="s">
        <v>393</v>
      </c>
      <c r="I16" s="39" t="s">
        <v>381</v>
      </c>
      <c r="J16" s="39" t="s">
        <v>395</v>
      </c>
      <c r="K16" s="40" t="s">
        <v>232</v>
      </c>
      <c r="L16" s="39" t="s">
        <v>396</v>
      </c>
      <c r="M16" s="39" t="s">
        <v>33</v>
      </c>
      <c r="N16" s="113">
        <v>0.9669</v>
      </c>
      <c r="O16" s="114" t="s">
        <v>399</v>
      </c>
      <c r="P16" s="51"/>
      <c r="Q16" s="39" t="s">
        <v>142</v>
      </c>
      <c r="R16" s="40" t="b">
        <v>1</v>
      </c>
      <c r="S16" s="52"/>
      <c r="T16" s="102" t="s">
        <v>403</v>
      </c>
      <c r="U16" s="103"/>
      <c r="W16" s="27"/>
      <c r="X16" s="27"/>
      <c r="Y16" s="27"/>
    </row>
    <row r="17" ht="48.0" customHeight="1">
      <c r="A17" s="53"/>
      <c r="B17" s="53"/>
      <c r="C17" s="39">
        <v>3.0</v>
      </c>
      <c r="D17" s="39" t="s">
        <v>404</v>
      </c>
      <c r="E17" s="40" t="s">
        <v>188</v>
      </c>
      <c r="F17" s="41" t="s">
        <v>405</v>
      </c>
      <c r="G17" s="39" t="s">
        <v>406</v>
      </c>
      <c r="H17" s="43" t="s">
        <v>148</v>
      </c>
      <c r="I17" s="39" t="s">
        <v>150</v>
      </c>
      <c r="J17" s="39" t="s">
        <v>408</v>
      </c>
      <c r="K17" s="40" t="s">
        <v>232</v>
      </c>
      <c r="L17" s="39" t="s">
        <v>396</v>
      </c>
      <c r="M17" s="39" t="s">
        <v>33</v>
      </c>
      <c r="N17" s="113">
        <v>0.77</v>
      </c>
      <c r="O17" s="121" t="s">
        <v>410</v>
      </c>
      <c r="P17" s="51"/>
      <c r="Q17" s="39" t="s">
        <v>177</v>
      </c>
      <c r="R17" s="40" t="b">
        <v>1</v>
      </c>
      <c r="S17" s="52"/>
      <c r="T17" s="102" t="s">
        <v>413</v>
      </c>
      <c r="U17" s="103"/>
      <c r="W17" s="27"/>
      <c r="X17" s="27"/>
      <c r="Y17" s="27"/>
    </row>
    <row r="18" ht="39.0" customHeight="1">
      <c r="A18" s="53"/>
      <c r="B18" s="53"/>
      <c r="C18" s="39">
        <v>4.0</v>
      </c>
      <c r="D18" s="39" t="s">
        <v>415</v>
      </c>
      <c r="E18" s="40" t="s">
        <v>188</v>
      </c>
      <c r="F18" s="41" t="s">
        <v>417</v>
      </c>
      <c r="G18" s="39" t="s">
        <v>418</v>
      </c>
      <c r="H18" s="43" t="s">
        <v>380</v>
      </c>
      <c r="I18" s="39" t="s">
        <v>150</v>
      </c>
      <c r="J18" s="39" t="s">
        <v>419</v>
      </c>
      <c r="K18" s="40" t="s">
        <v>232</v>
      </c>
      <c r="L18" s="39" t="s">
        <v>396</v>
      </c>
      <c r="M18" s="39" t="s">
        <v>33</v>
      </c>
      <c r="N18" s="54">
        <v>0.9333</v>
      </c>
      <c r="O18" s="121" t="s">
        <v>421</v>
      </c>
      <c r="P18" s="51"/>
      <c r="Q18" s="39" t="s">
        <v>142</v>
      </c>
      <c r="R18" s="40" t="b">
        <v>1</v>
      </c>
      <c r="S18" s="52"/>
      <c r="T18" s="102" t="s">
        <v>427</v>
      </c>
      <c r="U18" s="103"/>
      <c r="W18" s="27"/>
      <c r="X18" s="27"/>
      <c r="Y18" s="27"/>
    </row>
    <row r="19">
      <c r="A19" s="53"/>
      <c r="B19" s="53"/>
      <c r="C19" s="39">
        <v>5.0</v>
      </c>
      <c r="D19" s="39" t="s">
        <v>429</v>
      </c>
      <c r="E19" s="40" t="s">
        <v>250</v>
      </c>
      <c r="F19" s="41" t="s">
        <v>430</v>
      </c>
      <c r="G19" s="39" t="s">
        <v>432</v>
      </c>
      <c r="H19" s="43" t="s">
        <v>302</v>
      </c>
      <c r="I19" s="39" t="s">
        <v>150</v>
      </c>
      <c r="J19" s="39" t="s">
        <v>433</v>
      </c>
      <c r="K19" s="40" t="s">
        <v>162</v>
      </c>
      <c r="L19" s="39" t="s">
        <v>153</v>
      </c>
      <c r="M19" s="39" t="s">
        <v>14</v>
      </c>
      <c r="N19" s="39"/>
      <c r="O19" s="132" t="s">
        <v>437</v>
      </c>
      <c r="P19" s="51"/>
      <c r="Q19" s="39" t="s">
        <v>242</v>
      </c>
      <c r="R19" s="52" t="b">
        <v>0</v>
      </c>
      <c r="S19" s="52"/>
      <c r="T19" s="27"/>
      <c r="U19" s="27"/>
      <c r="V19" s="27"/>
      <c r="W19" s="27"/>
      <c r="X19" s="27"/>
      <c r="Y19" s="27"/>
    </row>
    <row r="20">
      <c r="A20" s="82"/>
      <c r="B20" s="82"/>
      <c r="C20" s="39">
        <v>6.0</v>
      </c>
      <c r="D20" s="39" t="s">
        <v>440</v>
      </c>
      <c r="E20" s="40" t="s">
        <v>250</v>
      </c>
      <c r="F20" s="41" t="s">
        <v>441</v>
      </c>
      <c r="G20" s="39" t="s">
        <v>442</v>
      </c>
      <c r="H20" s="43" t="s">
        <v>443</v>
      </c>
      <c r="I20" s="39" t="s">
        <v>150</v>
      </c>
      <c r="J20" s="39" t="s">
        <v>444</v>
      </c>
      <c r="K20" s="40" t="s">
        <v>162</v>
      </c>
      <c r="L20" s="39" t="s">
        <v>153</v>
      </c>
      <c r="M20" s="39" t="s">
        <v>445</v>
      </c>
      <c r="N20" s="136"/>
      <c r="O20" s="132" t="s">
        <v>437</v>
      </c>
      <c r="P20" s="51"/>
      <c r="Q20" s="39" t="s">
        <v>242</v>
      </c>
      <c r="R20" s="52" t="b">
        <v>0</v>
      </c>
      <c r="S20" s="52"/>
      <c r="T20" s="27"/>
      <c r="U20" s="27"/>
      <c r="V20" s="27"/>
      <c r="W20" s="27"/>
      <c r="X20" s="27"/>
      <c r="Y20" s="27"/>
    </row>
    <row r="21" ht="88.5" customHeight="1">
      <c r="A21" s="35" t="s">
        <v>447</v>
      </c>
      <c r="B21" s="38" t="s">
        <v>448</v>
      </c>
      <c r="C21" s="39">
        <v>1.0</v>
      </c>
      <c r="D21" s="39" t="s">
        <v>449</v>
      </c>
      <c r="E21" s="40" t="s">
        <v>277</v>
      </c>
      <c r="F21" s="41" t="s">
        <v>451</v>
      </c>
      <c r="G21" s="39" t="s">
        <v>452</v>
      </c>
      <c r="H21" s="43" t="s">
        <v>191</v>
      </c>
      <c r="I21" s="39" t="s">
        <v>381</v>
      </c>
      <c r="J21" s="39" t="s">
        <v>453</v>
      </c>
      <c r="K21" s="40" t="s">
        <v>454</v>
      </c>
      <c r="L21" s="39" t="s">
        <v>455</v>
      </c>
      <c r="M21" s="39" t="s">
        <v>33</v>
      </c>
      <c r="N21" s="39">
        <v>3.97</v>
      </c>
      <c r="O21" s="140" t="s">
        <v>457</v>
      </c>
      <c r="P21" s="51"/>
      <c r="Q21" s="39" t="s">
        <v>242</v>
      </c>
      <c r="R21" s="40" t="b">
        <v>1</v>
      </c>
      <c r="S21" s="52"/>
      <c r="T21" s="27"/>
      <c r="U21" s="27"/>
      <c r="V21" s="27"/>
      <c r="W21" s="27"/>
      <c r="X21" s="27"/>
      <c r="Y21" s="27"/>
    </row>
    <row r="22">
      <c r="A22" s="53"/>
      <c r="B22" s="53"/>
      <c r="C22" s="39">
        <v>2.0</v>
      </c>
      <c r="D22" s="39" t="s">
        <v>464</v>
      </c>
      <c r="E22" s="40" t="s">
        <v>188</v>
      </c>
      <c r="F22" s="41" t="s">
        <v>467</v>
      </c>
      <c r="G22" s="39" t="s">
        <v>468</v>
      </c>
      <c r="H22" s="43" t="s">
        <v>469</v>
      </c>
      <c r="I22" s="39" t="s">
        <v>150</v>
      </c>
      <c r="J22" s="39" t="s">
        <v>471</v>
      </c>
      <c r="K22" s="40" t="s">
        <v>472</v>
      </c>
      <c r="L22" s="39" t="s">
        <v>455</v>
      </c>
      <c r="M22" s="39" t="s">
        <v>445</v>
      </c>
      <c r="N22" s="39" t="s">
        <v>473</v>
      </c>
      <c r="O22" s="140" t="s">
        <v>474</v>
      </c>
      <c r="P22" s="51"/>
      <c r="Q22" s="39" t="s">
        <v>142</v>
      </c>
      <c r="R22" s="40" t="b">
        <v>1</v>
      </c>
      <c r="S22" s="52"/>
      <c r="T22" s="27"/>
      <c r="U22" s="27"/>
      <c r="V22" s="27"/>
      <c r="W22" s="27"/>
      <c r="X22" s="27"/>
      <c r="Y22" s="27"/>
    </row>
    <row r="23" ht="98.25" customHeight="1">
      <c r="A23" s="53"/>
      <c r="B23" s="53"/>
      <c r="C23" s="39">
        <v>3.0</v>
      </c>
      <c r="D23" s="39" t="s">
        <v>479</v>
      </c>
      <c r="E23" s="40" t="s">
        <v>188</v>
      </c>
      <c r="F23" s="41" t="s">
        <v>481</v>
      </c>
      <c r="G23" s="39" t="s">
        <v>392</v>
      </c>
      <c r="H23" s="43" t="s">
        <v>482</v>
      </c>
      <c r="I23" s="39" t="s">
        <v>381</v>
      </c>
      <c r="J23" s="39" t="s">
        <v>483</v>
      </c>
      <c r="K23" s="40" t="s">
        <v>484</v>
      </c>
      <c r="L23" s="39" t="s">
        <v>455</v>
      </c>
      <c r="M23" s="39" t="s">
        <v>33</v>
      </c>
      <c r="N23" s="145">
        <v>0.0</v>
      </c>
      <c r="O23" s="147" t="s">
        <v>486</v>
      </c>
      <c r="P23" s="51"/>
      <c r="Q23" s="39" t="s">
        <v>242</v>
      </c>
      <c r="R23" s="40" t="b">
        <v>1</v>
      </c>
      <c r="S23" s="52"/>
      <c r="T23" s="27"/>
      <c r="U23" s="27"/>
      <c r="V23" s="27"/>
      <c r="W23" s="27"/>
      <c r="X23" s="27"/>
      <c r="Y23" s="27"/>
    </row>
    <row r="24" ht="102.75" customHeight="1">
      <c r="A24" s="53"/>
      <c r="B24" s="53"/>
      <c r="C24" s="39">
        <v>4.0</v>
      </c>
      <c r="D24" s="39" t="s">
        <v>495</v>
      </c>
      <c r="E24" s="40" t="s">
        <v>250</v>
      </c>
      <c r="F24" s="41" t="s">
        <v>496</v>
      </c>
      <c r="G24" s="39" t="s">
        <v>497</v>
      </c>
      <c r="H24" s="43" t="s">
        <v>498</v>
      </c>
      <c r="I24" s="39" t="s">
        <v>150</v>
      </c>
      <c r="J24" s="39" t="s">
        <v>499</v>
      </c>
      <c r="K24" s="40" t="s">
        <v>472</v>
      </c>
      <c r="L24" s="39" t="s">
        <v>455</v>
      </c>
      <c r="M24" s="39" t="s">
        <v>33</v>
      </c>
      <c r="N24" s="39">
        <v>15.0</v>
      </c>
      <c r="O24" s="149" t="s">
        <v>501</v>
      </c>
      <c r="P24" s="51"/>
      <c r="Q24" s="39" t="s">
        <v>142</v>
      </c>
      <c r="R24" s="40" t="b">
        <v>1</v>
      </c>
      <c r="S24" s="52"/>
      <c r="T24" s="27"/>
      <c r="U24" s="27"/>
      <c r="V24" s="27"/>
      <c r="W24" s="27"/>
      <c r="X24" s="27"/>
      <c r="Y24" s="27"/>
    </row>
    <row r="25" ht="52.5" customHeight="1">
      <c r="A25" s="82"/>
      <c r="B25" s="82"/>
      <c r="C25" s="39">
        <v>5.0</v>
      </c>
      <c r="D25" s="39" t="s">
        <v>505</v>
      </c>
      <c r="E25" s="40" t="s">
        <v>250</v>
      </c>
      <c r="F25" s="41" t="s">
        <v>506</v>
      </c>
      <c r="G25" s="39" t="s">
        <v>507</v>
      </c>
      <c r="H25" s="43" t="s">
        <v>482</v>
      </c>
      <c r="I25" s="39" t="s">
        <v>150</v>
      </c>
      <c r="J25" s="39" t="s">
        <v>508</v>
      </c>
      <c r="K25" s="40" t="s">
        <v>509</v>
      </c>
      <c r="L25" s="39" t="s">
        <v>455</v>
      </c>
      <c r="M25" s="39" t="s">
        <v>33</v>
      </c>
      <c r="N25" s="54">
        <v>0.0</v>
      </c>
      <c r="O25" s="151" t="s">
        <v>512</v>
      </c>
      <c r="P25" s="51"/>
      <c r="Q25" s="39" t="s">
        <v>242</v>
      </c>
      <c r="R25" s="40" t="b">
        <v>1</v>
      </c>
      <c r="S25" s="52"/>
      <c r="T25" s="27"/>
      <c r="U25" s="27"/>
      <c r="V25" s="27"/>
      <c r="W25" s="27"/>
      <c r="X25" s="27"/>
      <c r="Y25" s="27"/>
    </row>
    <row r="26">
      <c r="A26" s="35" t="s">
        <v>513</v>
      </c>
      <c r="B26" s="38" t="s">
        <v>516</v>
      </c>
      <c r="C26" s="39">
        <v>1.0</v>
      </c>
      <c r="D26" s="39" t="s">
        <v>519</v>
      </c>
      <c r="E26" s="40" t="s">
        <v>520</v>
      </c>
      <c r="F26" s="41" t="s">
        <v>521</v>
      </c>
      <c r="G26" s="39" t="s">
        <v>523</v>
      </c>
      <c r="H26" s="43" t="s">
        <v>316</v>
      </c>
      <c r="I26" s="39" t="s">
        <v>193</v>
      </c>
      <c r="J26" s="39" t="s">
        <v>524</v>
      </c>
      <c r="K26" s="40" t="s">
        <v>162</v>
      </c>
      <c r="L26" s="39" t="s">
        <v>153</v>
      </c>
      <c r="M26" s="39" t="s">
        <v>33</v>
      </c>
      <c r="N26" s="154">
        <f>46/172</f>
        <v>0.2674418605</v>
      </c>
      <c r="O26" s="55" t="s">
        <v>529</v>
      </c>
      <c r="P26" s="51"/>
      <c r="Q26" s="39" t="s">
        <v>177</v>
      </c>
      <c r="R26" s="52" t="b">
        <v>0</v>
      </c>
      <c r="S26" s="52"/>
      <c r="T26" s="27"/>
      <c r="U26" s="27"/>
      <c r="V26" s="27"/>
      <c r="W26" s="27"/>
      <c r="X26" s="27"/>
      <c r="Y26" s="27"/>
    </row>
    <row r="27" ht="72.75" customHeight="1">
      <c r="A27" s="53"/>
      <c r="B27" s="53"/>
      <c r="C27" s="39">
        <v>2.0</v>
      </c>
      <c r="D27" s="39" t="s">
        <v>532</v>
      </c>
      <c r="E27" s="40" t="s">
        <v>520</v>
      </c>
      <c r="F27" s="41" t="s">
        <v>535</v>
      </c>
      <c r="G27" s="39" t="s">
        <v>536</v>
      </c>
      <c r="H27" s="43" t="s">
        <v>538</v>
      </c>
      <c r="I27" s="39" t="s">
        <v>381</v>
      </c>
      <c r="J27" s="39" t="s">
        <v>540</v>
      </c>
      <c r="K27" s="40" t="s">
        <v>542</v>
      </c>
      <c r="L27" s="39" t="s">
        <v>230</v>
      </c>
      <c r="M27" s="39" t="s">
        <v>33</v>
      </c>
      <c r="N27" s="39">
        <v>0.0</v>
      </c>
      <c r="O27" s="151" t="s">
        <v>545</v>
      </c>
      <c r="P27" s="51"/>
      <c r="Q27" s="39" t="s">
        <v>242</v>
      </c>
      <c r="R27" s="40" t="b">
        <v>1</v>
      </c>
      <c r="S27" s="52"/>
      <c r="T27" s="27"/>
      <c r="U27" s="27"/>
      <c r="V27" s="27"/>
      <c r="W27" s="27"/>
      <c r="X27" s="27"/>
      <c r="Y27" s="27"/>
    </row>
    <row r="28">
      <c r="A28" s="53"/>
      <c r="B28" s="53"/>
      <c r="C28" s="39">
        <v>3.0</v>
      </c>
      <c r="D28" s="39" t="s">
        <v>550</v>
      </c>
      <c r="E28" s="40" t="s">
        <v>551</v>
      </c>
      <c r="F28" s="41" t="s">
        <v>552</v>
      </c>
      <c r="G28" s="39" t="s">
        <v>553</v>
      </c>
      <c r="H28" s="43" t="s">
        <v>554</v>
      </c>
      <c r="I28" s="39" t="s">
        <v>193</v>
      </c>
      <c r="J28" s="39" t="s">
        <v>555</v>
      </c>
      <c r="K28" s="40" t="s">
        <v>556</v>
      </c>
      <c r="L28" s="39" t="s">
        <v>136</v>
      </c>
      <c r="M28" s="39" t="s">
        <v>33</v>
      </c>
      <c r="N28" s="39">
        <v>4.0</v>
      </c>
      <c r="O28" s="78" t="s">
        <v>559</v>
      </c>
      <c r="P28" s="51"/>
      <c r="Q28" s="39" t="s">
        <v>142</v>
      </c>
      <c r="R28" s="40" t="b">
        <v>1</v>
      </c>
      <c r="S28" s="52"/>
      <c r="T28" s="27"/>
      <c r="U28" s="27"/>
      <c r="V28" s="27"/>
      <c r="W28" s="27"/>
      <c r="X28" s="27"/>
      <c r="Y28" s="27"/>
    </row>
    <row r="29">
      <c r="A29" s="53"/>
      <c r="B29" s="53"/>
      <c r="C29" s="39">
        <v>4.0</v>
      </c>
      <c r="D29" s="39" t="s">
        <v>564</v>
      </c>
      <c r="E29" s="40" t="s">
        <v>565</v>
      </c>
      <c r="F29" s="41" t="s">
        <v>567</v>
      </c>
      <c r="G29" s="39" t="s">
        <v>569</v>
      </c>
      <c r="H29" s="43" t="s">
        <v>570</v>
      </c>
      <c r="I29" s="39" t="s">
        <v>150</v>
      </c>
      <c r="J29" s="39" t="s">
        <v>572</v>
      </c>
      <c r="K29" s="40" t="s">
        <v>574</v>
      </c>
      <c r="L29" s="39" t="s">
        <v>136</v>
      </c>
      <c r="M29" s="39" t="s">
        <v>33</v>
      </c>
      <c r="N29" s="168">
        <v>3.0</v>
      </c>
      <c r="O29" s="98" t="s">
        <v>579</v>
      </c>
      <c r="P29" s="51"/>
      <c r="Q29" s="39" t="s">
        <v>177</v>
      </c>
      <c r="R29" s="40" t="b">
        <v>1</v>
      </c>
      <c r="S29" s="52"/>
      <c r="T29" s="27"/>
      <c r="U29" s="27"/>
      <c r="V29" s="27"/>
      <c r="W29" s="27"/>
      <c r="X29" s="27"/>
      <c r="Y29" s="27"/>
    </row>
    <row r="30">
      <c r="A30" s="82"/>
      <c r="B30" s="82"/>
      <c r="C30" s="39">
        <v>5.0</v>
      </c>
      <c r="D30" s="39" t="s">
        <v>583</v>
      </c>
      <c r="E30" s="40" t="s">
        <v>250</v>
      </c>
      <c r="F30" s="41" t="s">
        <v>584</v>
      </c>
      <c r="G30" s="39" t="s">
        <v>585</v>
      </c>
      <c r="H30" s="43" t="s">
        <v>586</v>
      </c>
      <c r="I30" s="39" t="s">
        <v>150</v>
      </c>
      <c r="J30" s="39" t="s">
        <v>587</v>
      </c>
      <c r="K30" s="40" t="s">
        <v>542</v>
      </c>
      <c r="L30" s="39" t="s">
        <v>230</v>
      </c>
      <c r="M30" s="39" t="s">
        <v>33</v>
      </c>
      <c r="N30" s="39">
        <v>15.0</v>
      </c>
      <c r="O30" s="78" t="s">
        <v>589</v>
      </c>
      <c r="P30" s="51">
        <f>20-N30</f>
        <v>5</v>
      </c>
      <c r="Q30" s="39" t="s">
        <v>177</v>
      </c>
      <c r="R30" s="40" t="b">
        <v>1</v>
      </c>
      <c r="S30" s="52"/>
      <c r="T30" s="27"/>
      <c r="U30" s="27"/>
      <c r="V30" s="27"/>
      <c r="W30" s="27"/>
      <c r="X30" s="27"/>
      <c r="Y30" s="27"/>
    </row>
    <row r="31">
      <c r="A31" s="35" t="s">
        <v>593</v>
      </c>
      <c r="B31" s="38" t="s">
        <v>594</v>
      </c>
      <c r="C31" s="39">
        <v>1.0</v>
      </c>
      <c r="D31" s="39" t="s">
        <v>595</v>
      </c>
      <c r="E31" s="40" t="s">
        <v>277</v>
      </c>
      <c r="F31" s="41" t="s">
        <v>596</v>
      </c>
      <c r="G31" s="39" t="s">
        <v>597</v>
      </c>
      <c r="H31" s="43" t="s">
        <v>316</v>
      </c>
      <c r="I31" s="39" t="s">
        <v>598</v>
      </c>
      <c r="J31" s="39" t="s">
        <v>599</v>
      </c>
      <c r="K31" s="40" t="s">
        <v>600</v>
      </c>
      <c r="L31" s="39" t="s">
        <v>153</v>
      </c>
      <c r="M31" s="39" t="s">
        <v>33</v>
      </c>
      <c r="N31" s="54">
        <v>0.0</v>
      </c>
      <c r="O31" s="151" t="s">
        <v>602</v>
      </c>
      <c r="P31" s="51"/>
      <c r="Q31" s="39" t="s">
        <v>242</v>
      </c>
      <c r="R31" s="40" t="b">
        <v>1</v>
      </c>
      <c r="S31" s="52"/>
      <c r="T31" s="27"/>
      <c r="U31" s="27"/>
      <c r="V31" s="27"/>
      <c r="W31" s="27"/>
      <c r="X31" s="27"/>
      <c r="Y31" s="27"/>
    </row>
    <row r="32">
      <c r="A32" s="53"/>
      <c r="B32" s="53"/>
      <c r="C32" s="39">
        <v>2.0</v>
      </c>
      <c r="D32" s="39" t="s">
        <v>604</v>
      </c>
      <c r="E32" s="40" t="s">
        <v>188</v>
      </c>
      <c r="F32" s="41" t="s">
        <v>606</v>
      </c>
      <c r="G32" s="39" t="s">
        <v>608</v>
      </c>
      <c r="H32" s="43" t="s">
        <v>316</v>
      </c>
      <c r="I32" s="39" t="s">
        <v>193</v>
      </c>
      <c r="J32" s="39" t="s">
        <v>610</v>
      </c>
      <c r="K32" s="40" t="s">
        <v>611</v>
      </c>
      <c r="L32" s="39" t="s">
        <v>153</v>
      </c>
      <c r="M32" s="39" t="s">
        <v>33</v>
      </c>
      <c r="N32" s="54">
        <v>0.0</v>
      </c>
      <c r="O32" s="151" t="s">
        <v>615</v>
      </c>
      <c r="P32" s="51"/>
      <c r="Q32" s="39" t="s">
        <v>242</v>
      </c>
      <c r="R32" s="40" t="b">
        <v>1</v>
      </c>
      <c r="S32" s="52"/>
      <c r="T32" s="27"/>
      <c r="U32" s="27"/>
      <c r="V32" s="27"/>
      <c r="W32" s="27"/>
      <c r="X32" s="27"/>
      <c r="Y32" s="27"/>
    </row>
    <row r="33">
      <c r="A33" s="82"/>
      <c r="B33" s="82"/>
      <c r="C33" s="39">
        <v>3.0</v>
      </c>
      <c r="D33" s="39" t="s">
        <v>616</v>
      </c>
      <c r="E33" s="40" t="s">
        <v>250</v>
      </c>
      <c r="F33" s="41" t="s">
        <v>617</v>
      </c>
      <c r="G33" s="39" t="s">
        <v>618</v>
      </c>
      <c r="H33" s="43" t="s">
        <v>619</v>
      </c>
      <c r="I33" s="39" t="s">
        <v>150</v>
      </c>
      <c r="J33" s="39" t="s">
        <v>620</v>
      </c>
      <c r="K33" s="40" t="s">
        <v>621</v>
      </c>
      <c r="L33" s="39" t="s">
        <v>396</v>
      </c>
      <c r="M33" s="39" t="s">
        <v>33</v>
      </c>
      <c r="N33" s="54">
        <v>0.0</v>
      </c>
      <c r="O33" s="151" t="s">
        <v>624</v>
      </c>
      <c r="P33" s="51"/>
      <c r="Q33" s="39" t="s">
        <v>242</v>
      </c>
      <c r="R33" s="40" t="b">
        <v>1</v>
      </c>
      <c r="S33" s="52"/>
      <c r="T33" s="27"/>
      <c r="U33" s="27"/>
      <c r="V33" s="27"/>
      <c r="W33" s="27"/>
      <c r="X33" s="27"/>
      <c r="Y33" s="27"/>
    </row>
    <row r="34">
      <c r="A34" s="35" t="s">
        <v>626</v>
      </c>
      <c r="B34" s="38" t="s">
        <v>627</v>
      </c>
      <c r="C34" s="39">
        <v>1.0</v>
      </c>
      <c r="D34" s="39" t="s">
        <v>628</v>
      </c>
      <c r="E34" s="40" t="s">
        <v>277</v>
      </c>
      <c r="F34" s="41" t="s">
        <v>631</v>
      </c>
      <c r="G34" s="39" t="s">
        <v>632</v>
      </c>
      <c r="H34" s="43" t="s">
        <v>316</v>
      </c>
      <c r="I34" s="39" t="s">
        <v>150</v>
      </c>
      <c r="J34" s="39" t="s">
        <v>634</v>
      </c>
      <c r="K34" s="40" t="s">
        <v>635</v>
      </c>
      <c r="L34" s="39" t="s">
        <v>153</v>
      </c>
      <c r="M34" s="39" t="s">
        <v>33</v>
      </c>
      <c r="N34" s="54">
        <v>0.91</v>
      </c>
      <c r="O34" s="55" t="s">
        <v>154</v>
      </c>
      <c r="P34" s="51"/>
      <c r="Q34" s="39" t="s">
        <v>142</v>
      </c>
      <c r="R34" s="40" t="b">
        <v>1</v>
      </c>
      <c r="S34" s="52"/>
      <c r="T34" s="27"/>
      <c r="U34" s="27"/>
      <c r="V34" s="27"/>
      <c r="W34" s="27"/>
      <c r="X34" s="27"/>
      <c r="Y34" s="27"/>
    </row>
    <row r="35">
      <c r="A35" s="53"/>
      <c r="B35" s="53"/>
      <c r="C35" s="39">
        <v>2.0</v>
      </c>
      <c r="D35" s="39" t="s">
        <v>639</v>
      </c>
      <c r="E35" s="40" t="s">
        <v>188</v>
      </c>
      <c r="F35" s="41" t="s">
        <v>640</v>
      </c>
      <c r="G35" s="39" t="s">
        <v>641</v>
      </c>
      <c r="H35" s="43" t="s">
        <v>643</v>
      </c>
      <c r="I35" s="39" t="s">
        <v>598</v>
      </c>
      <c r="J35" s="39" t="s">
        <v>645</v>
      </c>
      <c r="K35" s="40" t="s">
        <v>635</v>
      </c>
      <c r="L35" s="39" t="s">
        <v>396</v>
      </c>
      <c r="M35" s="39" t="s">
        <v>33</v>
      </c>
      <c r="N35" s="54">
        <v>0.0</v>
      </c>
      <c r="O35" s="151" t="s">
        <v>647</v>
      </c>
      <c r="P35" s="51"/>
      <c r="Q35" s="39" t="s">
        <v>242</v>
      </c>
      <c r="R35" s="40" t="b">
        <v>1</v>
      </c>
      <c r="S35" s="52"/>
      <c r="T35" s="27"/>
      <c r="U35" s="27"/>
      <c r="V35" s="27"/>
      <c r="W35" s="27"/>
      <c r="X35" s="27"/>
      <c r="Y35" s="27"/>
    </row>
    <row r="36" ht="58.5" customHeight="1">
      <c r="A36" s="53"/>
      <c r="B36" s="53"/>
      <c r="C36" s="39">
        <v>3.0</v>
      </c>
      <c r="D36" s="39" t="s">
        <v>651</v>
      </c>
      <c r="E36" s="40" t="s">
        <v>250</v>
      </c>
      <c r="F36" s="41" t="s">
        <v>652</v>
      </c>
      <c r="G36" s="39" t="s">
        <v>653</v>
      </c>
      <c r="H36" s="43" t="s">
        <v>654</v>
      </c>
      <c r="I36" s="39" t="s">
        <v>150</v>
      </c>
      <c r="J36" s="39" t="s">
        <v>656</v>
      </c>
      <c r="K36" s="40" t="s">
        <v>658</v>
      </c>
      <c r="L36" s="39" t="s">
        <v>396</v>
      </c>
      <c r="M36" s="39" t="s">
        <v>33</v>
      </c>
      <c r="N36" s="39" t="s">
        <v>659</v>
      </c>
      <c r="O36" s="179" t="s">
        <v>660</v>
      </c>
      <c r="P36" s="51"/>
      <c r="Q36" s="39" t="s">
        <v>142</v>
      </c>
      <c r="R36" s="40" t="b">
        <v>1</v>
      </c>
      <c r="S36" s="52"/>
      <c r="T36" s="27"/>
      <c r="U36" s="27"/>
      <c r="V36" s="27"/>
      <c r="W36" s="27"/>
      <c r="X36" s="27"/>
      <c r="Y36" s="27"/>
    </row>
    <row r="37">
      <c r="A37" s="82"/>
      <c r="B37" s="82"/>
      <c r="C37" s="39">
        <v>4.0</v>
      </c>
      <c r="D37" s="39" t="s">
        <v>666</v>
      </c>
      <c r="E37" s="40" t="s">
        <v>250</v>
      </c>
      <c r="F37" s="41" t="s">
        <v>667</v>
      </c>
      <c r="G37" s="39" t="s">
        <v>669</v>
      </c>
      <c r="H37" s="43" t="s">
        <v>670</v>
      </c>
      <c r="I37" s="39" t="s">
        <v>150</v>
      </c>
      <c r="J37" s="39" t="s">
        <v>672</v>
      </c>
      <c r="K37" s="40" t="s">
        <v>674</v>
      </c>
      <c r="L37" s="39" t="s">
        <v>396</v>
      </c>
      <c r="M37" s="39" t="s">
        <v>33</v>
      </c>
      <c r="N37" s="39" t="s">
        <v>676</v>
      </c>
      <c r="O37" s="151" t="s">
        <v>677</v>
      </c>
      <c r="P37" s="51"/>
      <c r="Q37" s="39" t="s">
        <v>242</v>
      </c>
      <c r="R37" s="40" t="b">
        <v>1</v>
      </c>
      <c r="S37" s="52"/>
      <c r="T37" s="27"/>
      <c r="U37" s="27"/>
      <c r="V37" s="27"/>
      <c r="W37" s="27"/>
      <c r="X37" s="27"/>
      <c r="Y37" s="27"/>
    </row>
    <row r="38">
      <c r="A38" s="27"/>
      <c r="B38" s="27"/>
      <c r="C38" s="183"/>
      <c r="D38" s="183"/>
      <c r="E38" s="27"/>
      <c r="F38" s="184" t="s">
        <v>679</v>
      </c>
      <c r="G38" s="185">
        <v>34.0</v>
      </c>
      <c r="H38" s="183"/>
      <c r="I38" s="183"/>
      <c r="J38" s="183"/>
      <c r="K38" s="27"/>
      <c r="L38" s="183"/>
      <c r="M38" s="183"/>
      <c r="N38" s="183"/>
      <c r="O38" s="186"/>
      <c r="P38" s="183"/>
      <c r="Q38" s="183"/>
      <c r="R38" s="27"/>
      <c r="S38" s="27"/>
      <c r="T38" s="27"/>
      <c r="U38" s="27"/>
      <c r="V38" s="27"/>
      <c r="W38" s="27"/>
      <c r="X38" s="27"/>
      <c r="Y38" s="27"/>
    </row>
    <row r="39">
      <c r="A39" s="27"/>
      <c r="B39" s="27"/>
      <c r="C39" s="183"/>
      <c r="D39" s="183"/>
      <c r="E39" s="27"/>
      <c r="F39" s="27"/>
      <c r="G39" s="183"/>
      <c r="H39" s="183"/>
      <c r="I39" s="183"/>
      <c r="J39" s="183"/>
      <c r="K39" s="27"/>
      <c r="L39" s="183"/>
      <c r="M39" s="183"/>
      <c r="N39" s="183"/>
      <c r="O39" s="186"/>
      <c r="P39" s="183"/>
      <c r="Q39" s="183"/>
      <c r="R39" s="27"/>
      <c r="S39" s="27"/>
      <c r="T39" s="27"/>
      <c r="U39" s="27"/>
      <c r="V39" s="27"/>
      <c r="W39" s="27"/>
      <c r="X39" s="27"/>
      <c r="Y39" s="27"/>
    </row>
    <row r="40">
      <c r="A40" s="27"/>
      <c r="B40" s="27"/>
      <c r="C40" s="183"/>
      <c r="D40" s="183"/>
      <c r="E40" s="27"/>
      <c r="F40" s="27"/>
      <c r="G40" s="183"/>
      <c r="H40" s="183"/>
      <c r="I40" s="183"/>
      <c r="J40" s="183"/>
      <c r="K40" s="27"/>
      <c r="L40" s="183"/>
      <c r="M40" s="183"/>
      <c r="N40" s="183"/>
      <c r="O40" s="186"/>
      <c r="P40" s="183"/>
      <c r="Q40" s="183"/>
      <c r="R40" s="27"/>
      <c r="S40" s="27"/>
      <c r="T40" s="27"/>
      <c r="U40" s="27"/>
      <c r="V40" s="27"/>
      <c r="W40" s="27"/>
      <c r="X40" s="27"/>
      <c r="Y40" s="27"/>
    </row>
  </sheetData>
  <autoFilter ref="$A$3:$Y$38"/>
  <mergeCells count="15">
    <mergeCell ref="A21:A25"/>
    <mergeCell ref="B21:B25"/>
    <mergeCell ref="A26:A30"/>
    <mergeCell ref="B26:B30"/>
    <mergeCell ref="A31:A33"/>
    <mergeCell ref="B31:B33"/>
    <mergeCell ref="A34:A37"/>
    <mergeCell ref="B34:B37"/>
    <mergeCell ref="A1:S2"/>
    <mergeCell ref="A4:A9"/>
    <mergeCell ref="B4:B9"/>
    <mergeCell ref="A10:A14"/>
    <mergeCell ref="B10:B14"/>
    <mergeCell ref="A15:A20"/>
    <mergeCell ref="B15:B20"/>
  </mergeCells>
  <dataValidations>
    <dataValidation type="list" allowBlank="1" showErrorMessage="1" sqref="Q4:Q37">
      <formula1>"Cumplido,Parcialmente Cumplido,No cumplido,Sin datos,No aplicable / cohorte no madura"</formula1>
    </dataValidation>
  </dataValidations>
  <hyperlinks>
    <hyperlink r:id="rId4" ref="O4"/>
    <hyperlink r:id="rId5" ref="O5"/>
    <hyperlink r:id="rId6" ref="O6"/>
    <hyperlink r:id="rId7" ref="O7"/>
    <hyperlink r:id="rId8" location="gid=444740533" ref="O8"/>
    <hyperlink r:id="rId9" ref="O9"/>
    <hyperlink r:id="rId10" ref="O10"/>
    <hyperlink r:id="rId11" ref="O11"/>
    <hyperlink r:id="rId12" ref="O12"/>
    <hyperlink r:id="rId13" ref="O13"/>
    <hyperlink r:id="rId14" ref="O14"/>
    <hyperlink r:id="rId15" ref="O15"/>
    <hyperlink r:id="rId16" ref="O16"/>
    <hyperlink r:id="rId17" location="gid=1986024107" ref="O17"/>
    <hyperlink r:id="rId18" ref="O18"/>
    <hyperlink r:id="rId19" ref="O21"/>
    <hyperlink r:id="rId20" ref="O22"/>
    <hyperlink r:id="rId21" ref="O23"/>
    <hyperlink r:id="rId22" ref="O26"/>
    <hyperlink r:id="rId23" ref="O28"/>
    <hyperlink r:id="rId24" ref="O29"/>
    <hyperlink r:id="rId25" ref="O30"/>
    <hyperlink r:id="rId26" ref="O34"/>
    <hyperlink r:id="rId27" location="gid=0" ref="O36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28"/>
  <legacy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1.29"/>
    <col customWidth="1" min="2" max="2" width="26.86"/>
    <col customWidth="1" min="3" max="3" width="30.86"/>
    <col customWidth="1" min="4" max="4" width="16.14"/>
    <col customWidth="1" min="5" max="5" width="19.0"/>
    <col customWidth="1" min="6" max="6" width="27.71"/>
    <col customWidth="1" min="7" max="7" width="23.43"/>
    <col customWidth="1" min="8" max="8" width="23.86"/>
    <col customWidth="1" min="9" max="9" width="29.86"/>
    <col customWidth="1" min="10" max="10" width="42.43"/>
  </cols>
  <sheetData>
    <row r="1">
      <c r="A1" s="28" t="s">
        <v>96</v>
      </c>
      <c r="C1" s="31" t="s">
        <v>98</v>
      </c>
      <c r="D1" s="28"/>
      <c r="E1" s="33"/>
      <c r="F1" s="33"/>
      <c r="G1" s="33"/>
      <c r="H1" s="33"/>
      <c r="I1" s="33"/>
      <c r="J1" s="33"/>
      <c r="K1" s="34"/>
      <c r="L1" s="34"/>
    </row>
    <row r="2">
      <c r="A2" s="36" t="s">
        <v>101</v>
      </c>
      <c r="B2" s="36" t="s">
        <v>90</v>
      </c>
      <c r="C2" s="36" t="s">
        <v>87</v>
      </c>
      <c r="D2" s="37" t="s">
        <v>118</v>
      </c>
      <c r="E2" s="36" t="s">
        <v>5</v>
      </c>
      <c r="F2" s="36" t="s">
        <v>119</v>
      </c>
      <c r="G2" s="37" t="s">
        <v>120</v>
      </c>
      <c r="H2" s="37" t="s">
        <v>122</v>
      </c>
      <c r="I2" s="37" t="s">
        <v>124</v>
      </c>
      <c r="J2" s="37" t="s">
        <v>125</v>
      </c>
      <c r="K2" s="34"/>
      <c r="L2" s="34"/>
    </row>
    <row r="3">
      <c r="A3" s="42">
        <v>46023.0</v>
      </c>
      <c r="B3" s="44" t="s">
        <v>129</v>
      </c>
      <c r="C3" s="44" t="s">
        <v>131</v>
      </c>
      <c r="D3" s="45" t="s">
        <v>133</v>
      </c>
      <c r="E3" s="44" t="s">
        <v>33</v>
      </c>
      <c r="F3" s="44" t="s">
        <v>137</v>
      </c>
      <c r="G3" s="47"/>
      <c r="H3" s="48"/>
      <c r="I3" s="48"/>
      <c r="J3" s="48"/>
      <c r="K3" s="34"/>
      <c r="L3" s="34"/>
    </row>
    <row r="4">
      <c r="A4" s="42">
        <v>46054.0</v>
      </c>
      <c r="B4" s="44" t="s">
        <v>129</v>
      </c>
      <c r="C4" s="45" t="s">
        <v>140</v>
      </c>
      <c r="D4" s="45" t="s">
        <v>141</v>
      </c>
      <c r="E4" s="44" t="s">
        <v>33</v>
      </c>
      <c r="F4" s="44" t="s">
        <v>137</v>
      </c>
      <c r="G4" s="47"/>
      <c r="H4" s="48"/>
      <c r="I4" s="48"/>
      <c r="J4" s="48"/>
      <c r="K4" s="34"/>
      <c r="L4" s="34"/>
    </row>
    <row r="5">
      <c r="A5" s="42">
        <v>46082.0</v>
      </c>
      <c r="B5" s="44" t="s">
        <v>129</v>
      </c>
      <c r="C5" s="45" t="s">
        <v>143</v>
      </c>
      <c r="D5" s="45" t="s">
        <v>133</v>
      </c>
      <c r="E5" s="44" t="s">
        <v>33</v>
      </c>
      <c r="F5" s="44" t="s">
        <v>137</v>
      </c>
      <c r="G5" s="47"/>
      <c r="H5" s="48"/>
      <c r="I5" s="48"/>
      <c r="J5" s="48"/>
      <c r="K5" s="34"/>
      <c r="L5" s="34"/>
    </row>
    <row r="6">
      <c r="A6" s="42">
        <v>46113.0</v>
      </c>
      <c r="B6" s="44" t="s">
        <v>129</v>
      </c>
      <c r="C6" s="45" t="s">
        <v>147</v>
      </c>
      <c r="D6" s="45" t="s">
        <v>149</v>
      </c>
      <c r="E6" s="44" t="s">
        <v>33</v>
      </c>
      <c r="F6" s="44" t="s">
        <v>137</v>
      </c>
      <c r="G6" s="47"/>
      <c r="H6" s="48"/>
      <c r="I6" s="48"/>
      <c r="J6" s="48"/>
      <c r="K6" s="34"/>
      <c r="L6" s="34"/>
    </row>
    <row r="7">
      <c r="A7" s="42">
        <v>46143.0</v>
      </c>
      <c r="B7" s="44" t="s">
        <v>129</v>
      </c>
      <c r="C7" s="45" t="s">
        <v>155</v>
      </c>
      <c r="D7" s="45" t="s">
        <v>133</v>
      </c>
      <c r="E7" s="44" t="s">
        <v>33</v>
      </c>
      <c r="F7" s="44" t="s">
        <v>137</v>
      </c>
      <c r="G7" s="47"/>
      <c r="H7" s="48"/>
      <c r="I7" s="48"/>
      <c r="J7" s="48"/>
      <c r="K7" s="34"/>
      <c r="L7" s="34"/>
    </row>
    <row r="8">
      <c r="A8" s="42">
        <v>46174.0</v>
      </c>
      <c r="B8" s="44" t="s">
        <v>129</v>
      </c>
      <c r="C8" s="45" t="s">
        <v>156</v>
      </c>
      <c r="D8" s="45" t="s">
        <v>157</v>
      </c>
      <c r="E8" s="44" t="s">
        <v>33</v>
      </c>
      <c r="F8" s="44" t="s">
        <v>137</v>
      </c>
      <c r="G8" s="47"/>
      <c r="H8" s="48"/>
      <c r="I8" s="48"/>
      <c r="J8" s="48"/>
      <c r="K8" s="34"/>
      <c r="L8" s="34"/>
    </row>
    <row r="9">
      <c r="A9" s="42">
        <v>46204.0</v>
      </c>
      <c r="B9" s="44" t="s">
        <v>129</v>
      </c>
      <c r="C9" s="56" t="s">
        <v>159</v>
      </c>
      <c r="D9" s="45" t="s">
        <v>160</v>
      </c>
      <c r="E9" s="44" t="s">
        <v>33</v>
      </c>
      <c r="F9" s="45" t="s">
        <v>162</v>
      </c>
      <c r="G9" s="59">
        <v>0.1246</v>
      </c>
      <c r="H9" s="60" t="s">
        <v>165</v>
      </c>
      <c r="I9" s="61"/>
      <c r="J9" s="48"/>
      <c r="K9" s="34"/>
      <c r="L9" s="34"/>
    </row>
    <row r="10">
      <c r="A10" s="42">
        <v>46235.0</v>
      </c>
      <c r="B10" s="44" t="s">
        <v>129</v>
      </c>
      <c r="C10" s="56" t="s">
        <v>172</v>
      </c>
      <c r="D10" s="45" t="s">
        <v>173</v>
      </c>
      <c r="E10" s="44" t="s">
        <v>33</v>
      </c>
      <c r="F10" s="45" t="s">
        <v>162</v>
      </c>
      <c r="G10" s="59">
        <v>0.9112</v>
      </c>
      <c r="H10" s="60" t="s">
        <v>165</v>
      </c>
      <c r="I10" s="48"/>
      <c r="J10" s="48"/>
      <c r="K10" s="34"/>
      <c r="L10" s="34"/>
    </row>
    <row r="11">
      <c r="A11" s="42">
        <v>46266.0</v>
      </c>
      <c r="B11" s="44" t="s">
        <v>129</v>
      </c>
      <c r="C11" s="45" t="s">
        <v>174</v>
      </c>
      <c r="D11" s="45" t="s">
        <v>175</v>
      </c>
      <c r="E11" s="44" t="s">
        <v>33</v>
      </c>
      <c r="F11" s="45" t="s">
        <v>176</v>
      </c>
      <c r="G11" s="66" t="s">
        <v>178</v>
      </c>
      <c r="H11" s="61" t="s">
        <v>181</v>
      </c>
      <c r="I11" s="67"/>
      <c r="J11" s="48"/>
      <c r="K11" s="34"/>
      <c r="L11" s="34"/>
    </row>
    <row r="12">
      <c r="A12" s="42">
        <v>46296.0</v>
      </c>
      <c r="B12" s="44" t="s">
        <v>129</v>
      </c>
      <c r="C12" s="45" t="s">
        <v>183</v>
      </c>
      <c r="D12" s="45" t="s">
        <v>184</v>
      </c>
      <c r="E12" s="44" t="s">
        <v>33</v>
      </c>
      <c r="F12" s="45" t="s">
        <v>176</v>
      </c>
      <c r="G12" s="70" t="s">
        <v>185</v>
      </c>
      <c r="H12" s="71" t="s">
        <v>196</v>
      </c>
      <c r="I12" s="71" t="s">
        <v>199</v>
      </c>
      <c r="J12" s="48"/>
      <c r="K12" s="34"/>
      <c r="L12" s="34"/>
    </row>
    <row r="13">
      <c r="A13" s="42">
        <v>46055.0</v>
      </c>
      <c r="B13" s="44" t="s">
        <v>202</v>
      </c>
      <c r="C13" s="45" t="s">
        <v>203</v>
      </c>
      <c r="D13" s="45" t="s">
        <v>160</v>
      </c>
      <c r="E13" s="44" t="s">
        <v>33</v>
      </c>
      <c r="F13" s="45" t="s">
        <v>204</v>
      </c>
      <c r="G13" s="47"/>
      <c r="H13" s="48"/>
      <c r="I13" s="48"/>
      <c r="J13" s="48"/>
      <c r="K13" s="34"/>
      <c r="L13" s="34"/>
    </row>
    <row r="14">
      <c r="A14" s="42">
        <v>46083.0</v>
      </c>
      <c r="B14" s="44" t="s">
        <v>202</v>
      </c>
      <c r="C14" s="45" t="s">
        <v>208</v>
      </c>
      <c r="D14" s="45" t="s">
        <v>210</v>
      </c>
      <c r="E14" s="44" t="s">
        <v>33</v>
      </c>
      <c r="F14" s="44" t="s">
        <v>137</v>
      </c>
      <c r="G14" s="47"/>
      <c r="H14" s="48"/>
      <c r="I14" s="48"/>
      <c r="J14" s="48"/>
      <c r="K14" s="34"/>
      <c r="L14" s="34"/>
    </row>
    <row r="15">
      <c r="A15" s="42">
        <v>46114.0</v>
      </c>
      <c r="B15" s="44" t="s">
        <v>202</v>
      </c>
      <c r="C15" s="45" t="s">
        <v>218</v>
      </c>
      <c r="D15" s="45" t="s">
        <v>133</v>
      </c>
      <c r="E15" s="44" t="s">
        <v>33</v>
      </c>
      <c r="F15" s="44" t="s">
        <v>137</v>
      </c>
      <c r="G15" s="47"/>
      <c r="H15" s="48"/>
      <c r="I15" s="48"/>
      <c r="J15" s="48"/>
      <c r="K15" s="34"/>
      <c r="L15" s="34"/>
    </row>
    <row r="16">
      <c r="A16" s="42">
        <v>46144.0</v>
      </c>
      <c r="B16" s="44" t="s">
        <v>202</v>
      </c>
      <c r="C16" s="45" t="s">
        <v>228</v>
      </c>
      <c r="D16" s="45" t="s">
        <v>133</v>
      </c>
      <c r="E16" s="44" t="s">
        <v>33</v>
      </c>
      <c r="F16" s="44" t="s">
        <v>137</v>
      </c>
      <c r="G16" s="47"/>
      <c r="H16" s="48"/>
      <c r="I16" s="48"/>
      <c r="J16" s="48"/>
      <c r="K16" s="34"/>
      <c r="L16" s="34"/>
    </row>
    <row r="17">
      <c r="A17" s="42">
        <v>46175.0</v>
      </c>
      <c r="B17" s="44" t="s">
        <v>202</v>
      </c>
      <c r="C17" s="45" t="s">
        <v>234</v>
      </c>
      <c r="D17" s="45" t="s">
        <v>236</v>
      </c>
      <c r="E17" s="44" t="s">
        <v>33</v>
      </c>
      <c r="F17" s="44" t="s">
        <v>137</v>
      </c>
      <c r="G17" s="47"/>
      <c r="H17" s="48"/>
      <c r="I17" s="48"/>
      <c r="J17" s="48"/>
      <c r="K17" s="34"/>
      <c r="L17" s="34"/>
    </row>
    <row r="18">
      <c r="A18" s="42">
        <v>46205.0</v>
      </c>
      <c r="B18" s="44" t="s">
        <v>202</v>
      </c>
      <c r="C18" s="45" t="s">
        <v>241</v>
      </c>
      <c r="D18" s="45" t="s">
        <v>173</v>
      </c>
      <c r="E18" s="44" t="s">
        <v>33</v>
      </c>
      <c r="F18" s="44" t="s">
        <v>137</v>
      </c>
      <c r="G18" s="47"/>
      <c r="H18" s="48"/>
      <c r="I18" s="48"/>
      <c r="J18" s="48"/>
      <c r="K18" s="34"/>
      <c r="L18" s="34"/>
    </row>
    <row r="19">
      <c r="A19" s="42">
        <v>46236.0</v>
      </c>
      <c r="B19" s="44" t="s">
        <v>202</v>
      </c>
      <c r="C19" s="45" t="s">
        <v>245</v>
      </c>
      <c r="D19" s="45" t="s">
        <v>246</v>
      </c>
      <c r="E19" s="44" t="s">
        <v>33</v>
      </c>
      <c r="F19" s="44" t="s">
        <v>137</v>
      </c>
      <c r="G19" s="47"/>
      <c r="H19" s="48"/>
      <c r="I19" s="48"/>
      <c r="J19" s="48"/>
      <c r="K19" s="34"/>
      <c r="L19" s="34"/>
    </row>
    <row r="20">
      <c r="A20" s="42">
        <v>46267.0</v>
      </c>
      <c r="B20" s="44" t="s">
        <v>202</v>
      </c>
      <c r="C20" s="83" t="s">
        <v>248</v>
      </c>
      <c r="D20" s="45" t="s">
        <v>149</v>
      </c>
      <c r="E20" s="44" t="s">
        <v>33</v>
      </c>
      <c r="F20" s="45" t="s">
        <v>162</v>
      </c>
      <c r="G20" s="44" t="s">
        <v>36</v>
      </c>
      <c r="H20" s="84" t="s">
        <v>253</v>
      </c>
      <c r="I20" s="61" t="s">
        <v>255</v>
      </c>
      <c r="J20" s="48"/>
      <c r="K20" s="34"/>
      <c r="L20" s="34"/>
    </row>
    <row r="21">
      <c r="A21" s="42">
        <v>46297.0</v>
      </c>
      <c r="B21" s="44" t="s">
        <v>202</v>
      </c>
      <c r="C21" s="56" t="s">
        <v>258</v>
      </c>
      <c r="D21" s="45" t="s">
        <v>160</v>
      </c>
      <c r="E21" s="44" t="s">
        <v>33</v>
      </c>
      <c r="F21" s="45" t="s">
        <v>162</v>
      </c>
      <c r="G21" s="59">
        <v>0.875</v>
      </c>
      <c r="H21" s="60" t="s">
        <v>165</v>
      </c>
      <c r="I21" s="48"/>
      <c r="J21" s="48"/>
      <c r="K21" s="34"/>
      <c r="L21" s="34"/>
    </row>
    <row r="22">
      <c r="A22" s="42">
        <v>46025.0</v>
      </c>
      <c r="B22" s="45" t="s">
        <v>260</v>
      </c>
      <c r="C22" s="83" t="s">
        <v>261</v>
      </c>
      <c r="D22" s="45" t="s">
        <v>133</v>
      </c>
      <c r="E22" s="44" t="s">
        <v>33</v>
      </c>
      <c r="F22" s="45" t="s">
        <v>162</v>
      </c>
      <c r="G22" s="44" t="s">
        <v>36</v>
      </c>
      <c r="H22" s="84" t="s">
        <v>253</v>
      </c>
      <c r="I22" s="61" t="s">
        <v>255</v>
      </c>
      <c r="J22" s="48"/>
      <c r="K22" s="34"/>
      <c r="L22" s="34"/>
    </row>
    <row r="23" ht="36.75" customHeight="1">
      <c r="A23" s="42">
        <v>46056.0</v>
      </c>
      <c r="B23" s="45" t="s">
        <v>260</v>
      </c>
      <c r="C23" s="45" t="s">
        <v>266</v>
      </c>
      <c r="D23" s="45" t="s">
        <v>267</v>
      </c>
      <c r="E23" s="44" t="s">
        <v>33</v>
      </c>
      <c r="F23" s="44" t="s">
        <v>232</v>
      </c>
      <c r="G23" s="66" t="s">
        <v>269</v>
      </c>
      <c r="H23" s="86" t="s">
        <v>274</v>
      </c>
      <c r="I23" s="87"/>
      <c r="J23" s="88"/>
      <c r="K23" s="34"/>
      <c r="L23" s="34"/>
    </row>
    <row r="24">
      <c r="A24" s="42">
        <v>46084.0</v>
      </c>
      <c r="B24" s="45" t="s">
        <v>260</v>
      </c>
      <c r="C24" s="45" t="s">
        <v>280</v>
      </c>
      <c r="D24" s="45" t="s">
        <v>173</v>
      </c>
      <c r="E24" s="44" t="s">
        <v>33</v>
      </c>
      <c r="F24" s="44" t="s">
        <v>232</v>
      </c>
      <c r="G24" s="89" t="s">
        <v>283</v>
      </c>
      <c r="H24" s="86" t="s">
        <v>285</v>
      </c>
      <c r="I24" s="91" t="s">
        <v>286</v>
      </c>
      <c r="J24" s="88"/>
      <c r="K24" s="34"/>
      <c r="L24" s="34"/>
    </row>
    <row r="25" ht="40.5" customHeight="1">
      <c r="A25" s="42">
        <v>46115.0</v>
      </c>
      <c r="B25" s="45" t="s">
        <v>260</v>
      </c>
      <c r="C25" s="45" t="s">
        <v>291</v>
      </c>
      <c r="D25" s="45" t="s">
        <v>173</v>
      </c>
      <c r="E25" s="44" t="s">
        <v>33</v>
      </c>
      <c r="F25" s="44" t="s">
        <v>232</v>
      </c>
      <c r="G25" s="95" t="s">
        <v>292</v>
      </c>
      <c r="H25" s="86" t="s">
        <v>298</v>
      </c>
      <c r="I25" s="88"/>
      <c r="J25" s="88"/>
      <c r="K25" s="34"/>
      <c r="L25" s="34"/>
    </row>
    <row r="26">
      <c r="A26" s="42">
        <v>46145.0</v>
      </c>
      <c r="B26" s="45" t="s">
        <v>260</v>
      </c>
      <c r="C26" s="45" t="s">
        <v>303</v>
      </c>
      <c r="D26" s="45" t="s">
        <v>173</v>
      </c>
      <c r="E26" s="44" t="s">
        <v>33</v>
      </c>
      <c r="F26" s="44" t="s">
        <v>232</v>
      </c>
      <c r="G26" s="89" t="s">
        <v>283</v>
      </c>
      <c r="H26" s="86" t="s">
        <v>285</v>
      </c>
      <c r="I26" s="91" t="s">
        <v>308</v>
      </c>
      <c r="J26" s="88"/>
      <c r="K26" s="34"/>
      <c r="L26" s="34"/>
    </row>
    <row r="27" ht="87.75" customHeight="1">
      <c r="A27" s="42">
        <v>46176.0</v>
      </c>
      <c r="B27" s="45" t="s">
        <v>260</v>
      </c>
      <c r="C27" s="45" t="s">
        <v>309</v>
      </c>
      <c r="D27" s="45" t="s">
        <v>310</v>
      </c>
      <c r="E27" s="44" t="s">
        <v>33</v>
      </c>
      <c r="F27" s="45" t="s">
        <v>232</v>
      </c>
      <c r="G27" s="66" t="s">
        <v>311</v>
      </c>
      <c r="H27" s="86" t="s">
        <v>314</v>
      </c>
      <c r="I27" s="88"/>
      <c r="J27" s="88"/>
      <c r="K27" s="34"/>
      <c r="L27" s="34"/>
    </row>
    <row r="28">
      <c r="A28" s="42">
        <v>46206.0</v>
      </c>
      <c r="B28" s="45" t="s">
        <v>260</v>
      </c>
      <c r="C28" s="45" t="s">
        <v>320</v>
      </c>
      <c r="D28" s="45" t="s">
        <v>160</v>
      </c>
      <c r="E28" s="44" t="s">
        <v>33</v>
      </c>
      <c r="F28" s="45" t="s">
        <v>232</v>
      </c>
      <c r="G28" s="66" t="s">
        <v>321</v>
      </c>
      <c r="H28" s="86" t="s">
        <v>326</v>
      </c>
      <c r="I28" s="88"/>
      <c r="J28" s="88"/>
      <c r="K28" s="34"/>
      <c r="L28" s="34"/>
    </row>
    <row r="29">
      <c r="A29" s="42">
        <v>46237.0</v>
      </c>
      <c r="B29" s="45" t="s">
        <v>260</v>
      </c>
      <c r="C29" s="45" t="s">
        <v>329</v>
      </c>
      <c r="D29" s="45" t="s">
        <v>330</v>
      </c>
      <c r="E29" s="44" t="s">
        <v>33</v>
      </c>
      <c r="F29" s="45" t="s">
        <v>232</v>
      </c>
      <c r="G29" s="66" t="s">
        <v>331</v>
      </c>
      <c r="H29" s="86" t="s">
        <v>326</v>
      </c>
      <c r="I29" s="88"/>
      <c r="J29" s="88"/>
      <c r="K29" s="34"/>
      <c r="L29" s="34"/>
    </row>
    <row r="30">
      <c r="A30" s="42">
        <v>46268.0</v>
      </c>
      <c r="B30" s="45" t="s">
        <v>260</v>
      </c>
      <c r="C30" s="45" t="s">
        <v>334</v>
      </c>
      <c r="D30" s="45" t="s">
        <v>173</v>
      </c>
      <c r="E30" s="44" t="s">
        <v>33</v>
      </c>
      <c r="F30" s="45" t="s">
        <v>232</v>
      </c>
      <c r="G30" s="66" t="s">
        <v>337</v>
      </c>
      <c r="H30" s="86" t="s">
        <v>343</v>
      </c>
      <c r="I30" s="105">
        <f>((104-10)/104)</f>
        <v>0.9038461538</v>
      </c>
      <c r="J30" s="88"/>
      <c r="K30" s="34"/>
      <c r="L30" s="34"/>
    </row>
    <row r="31">
      <c r="A31" s="42">
        <v>46298.0</v>
      </c>
      <c r="B31" s="45" t="s">
        <v>260</v>
      </c>
      <c r="C31" s="45" t="s">
        <v>346</v>
      </c>
      <c r="D31" s="45" t="s">
        <v>310</v>
      </c>
      <c r="E31" s="44" t="s">
        <v>33</v>
      </c>
      <c r="F31" s="45" t="s">
        <v>232</v>
      </c>
      <c r="G31" s="89" t="s">
        <v>283</v>
      </c>
      <c r="H31" s="86" t="s">
        <v>285</v>
      </c>
      <c r="I31" s="91" t="s">
        <v>349</v>
      </c>
      <c r="J31" s="88"/>
      <c r="K31" s="34"/>
      <c r="L31" s="34"/>
    </row>
    <row r="32">
      <c r="A32" s="42">
        <v>46026.0</v>
      </c>
      <c r="B32" s="45" t="s">
        <v>225</v>
      </c>
      <c r="C32" s="83" t="s">
        <v>350</v>
      </c>
      <c r="D32" s="45" t="s">
        <v>133</v>
      </c>
      <c r="E32" s="44" t="s">
        <v>33</v>
      </c>
      <c r="F32" s="45" t="s">
        <v>351</v>
      </c>
      <c r="G32" s="44" t="s">
        <v>36</v>
      </c>
      <c r="H32" s="84" t="s">
        <v>253</v>
      </c>
      <c r="I32" s="61" t="s">
        <v>255</v>
      </c>
      <c r="J32" s="48"/>
      <c r="K32" s="34"/>
      <c r="L32" s="34"/>
    </row>
    <row r="33">
      <c r="A33" s="42">
        <v>46057.0</v>
      </c>
      <c r="B33" s="45" t="s">
        <v>225</v>
      </c>
      <c r="C33" s="45" t="s">
        <v>354</v>
      </c>
      <c r="D33" s="45" t="s">
        <v>356</v>
      </c>
      <c r="E33" s="44" t="s">
        <v>33</v>
      </c>
      <c r="F33" s="45" t="s">
        <v>351</v>
      </c>
      <c r="G33" s="44" t="s">
        <v>359</v>
      </c>
      <c r="H33" s="84" t="s">
        <v>359</v>
      </c>
      <c r="I33" s="61" t="s">
        <v>361</v>
      </c>
      <c r="J33" s="48"/>
      <c r="K33" s="34"/>
      <c r="L33" s="34"/>
    </row>
    <row r="34">
      <c r="A34" s="42">
        <v>46085.0</v>
      </c>
      <c r="B34" s="45" t="s">
        <v>225</v>
      </c>
      <c r="C34" s="45" t="s">
        <v>362</v>
      </c>
      <c r="D34" s="45" t="s">
        <v>133</v>
      </c>
      <c r="E34" s="44" t="s">
        <v>33</v>
      </c>
      <c r="F34" s="45" t="s">
        <v>351</v>
      </c>
      <c r="G34" s="44" t="s">
        <v>359</v>
      </c>
      <c r="H34" s="84" t="s">
        <v>359</v>
      </c>
      <c r="I34" s="61" t="s">
        <v>361</v>
      </c>
      <c r="J34" s="48"/>
      <c r="K34" s="34"/>
      <c r="L34" s="34"/>
    </row>
    <row r="35">
      <c r="A35" s="42">
        <v>46146.0</v>
      </c>
      <c r="B35" s="45" t="s">
        <v>225</v>
      </c>
      <c r="C35" s="45" t="s">
        <v>364</v>
      </c>
      <c r="D35" s="45" t="s">
        <v>365</v>
      </c>
      <c r="E35" s="44" t="s">
        <v>33</v>
      </c>
      <c r="F35" s="45" t="s">
        <v>232</v>
      </c>
      <c r="G35" s="47"/>
      <c r="H35" s="86" t="s">
        <v>368</v>
      </c>
      <c r="I35" s="88"/>
      <c r="J35" s="88"/>
      <c r="K35" s="34"/>
      <c r="L35" s="34"/>
    </row>
    <row r="36">
      <c r="A36" s="42">
        <v>46177.0</v>
      </c>
      <c r="B36" s="45" t="s">
        <v>225</v>
      </c>
      <c r="C36" s="45" t="s">
        <v>369</v>
      </c>
      <c r="D36" s="45" t="s">
        <v>356</v>
      </c>
      <c r="E36" s="45" t="s">
        <v>33</v>
      </c>
      <c r="F36" s="45" t="s">
        <v>370</v>
      </c>
      <c r="G36" s="47"/>
      <c r="H36" s="48"/>
      <c r="I36" s="48"/>
      <c r="J36" s="48"/>
      <c r="K36" s="34"/>
      <c r="L36" s="34"/>
    </row>
    <row r="37">
      <c r="A37" s="42">
        <v>46027.0</v>
      </c>
      <c r="B37" s="45" t="s">
        <v>323</v>
      </c>
      <c r="C37" s="45" t="s">
        <v>374</v>
      </c>
      <c r="D37" s="45" t="s">
        <v>133</v>
      </c>
      <c r="E37" s="44" t="s">
        <v>33</v>
      </c>
      <c r="F37" s="45" t="s">
        <v>176</v>
      </c>
      <c r="G37" s="111" t="s">
        <v>376</v>
      </c>
      <c r="H37" s="48"/>
      <c r="I37" s="71" t="s">
        <v>385</v>
      </c>
      <c r="J37" s="48"/>
      <c r="K37" s="34"/>
      <c r="L37" s="34"/>
    </row>
    <row r="38">
      <c r="A38" s="42">
        <v>46058.0</v>
      </c>
      <c r="B38" s="45" t="s">
        <v>323</v>
      </c>
      <c r="C38" s="45" t="s">
        <v>386</v>
      </c>
      <c r="D38" s="45" t="s">
        <v>387</v>
      </c>
      <c r="E38" s="44" t="s">
        <v>33</v>
      </c>
      <c r="F38" s="45" t="s">
        <v>176</v>
      </c>
      <c r="G38" s="47"/>
      <c r="H38" s="48"/>
      <c r="I38" s="71" t="s">
        <v>388</v>
      </c>
      <c r="J38" s="48"/>
      <c r="K38" s="34"/>
      <c r="L38" s="34"/>
    </row>
    <row r="39">
      <c r="A39" s="42">
        <v>46086.0</v>
      </c>
      <c r="B39" s="45" t="s">
        <v>323</v>
      </c>
      <c r="C39" s="83" t="s">
        <v>389</v>
      </c>
      <c r="D39" s="45" t="s">
        <v>133</v>
      </c>
      <c r="E39" s="44" t="s">
        <v>33</v>
      </c>
      <c r="F39" s="45" t="s">
        <v>162</v>
      </c>
      <c r="G39" s="44" t="s">
        <v>36</v>
      </c>
      <c r="H39" s="84" t="s">
        <v>253</v>
      </c>
      <c r="I39" s="61" t="s">
        <v>394</v>
      </c>
      <c r="J39" s="48"/>
      <c r="K39" s="34"/>
      <c r="L39" s="34"/>
    </row>
    <row r="40">
      <c r="A40" s="42">
        <v>46117.0</v>
      </c>
      <c r="B40" s="45" t="s">
        <v>323</v>
      </c>
      <c r="C40" s="45" t="s">
        <v>397</v>
      </c>
      <c r="D40" s="45" t="s">
        <v>398</v>
      </c>
      <c r="E40" s="44" t="s">
        <v>33</v>
      </c>
      <c r="F40" s="45" t="s">
        <v>176</v>
      </c>
      <c r="G40" s="47"/>
      <c r="H40" s="48"/>
      <c r="I40" s="71" t="s">
        <v>400</v>
      </c>
      <c r="J40" s="48"/>
      <c r="K40" s="34"/>
      <c r="L40" s="34"/>
    </row>
    <row r="41">
      <c r="A41" s="42">
        <v>46178.0</v>
      </c>
      <c r="B41" s="45" t="s">
        <v>323</v>
      </c>
      <c r="C41" s="45" t="s">
        <v>401</v>
      </c>
      <c r="D41" s="45" t="s">
        <v>402</v>
      </c>
      <c r="E41" s="44" t="s">
        <v>33</v>
      </c>
      <c r="F41" s="45" t="s">
        <v>176</v>
      </c>
      <c r="G41" s="111" t="s">
        <v>407</v>
      </c>
      <c r="H41" s="48"/>
      <c r="I41" s="71" t="s">
        <v>411</v>
      </c>
      <c r="J41" s="48"/>
      <c r="K41" s="34"/>
      <c r="L41" s="34"/>
    </row>
    <row r="42">
      <c r="A42" s="42">
        <v>46208.0</v>
      </c>
      <c r="B42" s="45" t="s">
        <v>323</v>
      </c>
      <c r="C42" s="45" t="s">
        <v>412</v>
      </c>
      <c r="D42" s="45" t="s">
        <v>414</v>
      </c>
      <c r="E42" s="44" t="s">
        <v>33</v>
      </c>
      <c r="F42" s="45" t="s">
        <v>162</v>
      </c>
      <c r="G42" s="44">
        <v>3.0</v>
      </c>
      <c r="H42" s="84" t="s">
        <v>253</v>
      </c>
      <c r="I42" s="61" t="s">
        <v>416</v>
      </c>
      <c r="J42" s="48"/>
      <c r="K42" s="34"/>
      <c r="L42" s="34"/>
    </row>
    <row r="43">
      <c r="A43" s="42">
        <v>46300.0</v>
      </c>
      <c r="B43" s="45" t="s">
        <v>323</v>
      </c>
      <c r="C43" s="45" t="s">
        <v>420</v>
      </c>
      <c r="D43" s="45" t="s">
        <v>267</v>
      </c>
      <c r="E43" s="44" t="s">
        <v>33</v>
      </c>
      <c r="F43" s="45" t="s">
        <v>232</v>
      </c>
      <c r="G43" s="47"/>
      <c r="H43" s="86" t="s">
        <v>422</v>
      </c>
      <c r="I43" s="88"/>
      <c r="J43" s="88"/>
      <c r="K43" s="34"/>
      <c r="L43" s="34"/>
    </row>
    <row r="44">
      <c r="A44" s="42">
        <v>46028.0</v>
      </c>
      <c r="B44" s="128" t="s">
        <v>413</v>
      </c>
      <c r="C44" s="128" t="s">
        <v>424</v>
      </c>
      <c r="D44" s="45" t="s">
        <v>133</v>
      </c>
      <c r="E44" s="44" t="s">
        <v>33</v>
      </c>
      <c r="F44" s="45" t="s">
        <v>162</v>
      </c>
      <c r="G44" s="44" t="s">
        <v>359</v>
      </c>
      <c r="H44" s="84" t="s">
        <v>359</v>
      </c>
      <c r="I44" s="61" t="s">
        <v>361</v>
      </c>
      <c r="J44" s="48"/>
      <c r="K44" s="34"/>
      <c r="L44" s="34"/>
    </row>
    <row r="45">
      <c r="A45" s="42">
        <v>46059.0</v>
      </c>
      <c r="B45" s="128" t="s">
        <v>413</v>
      </c>
      <c r="C45" s="128" t="s">
        <v>431</v>
      </c>
      <c r="D45" s="45" t="s">
        <v>173</v>
      </c>
      <c r="E45" s="44" t="s">
        <v>33</v>
      </c>
      <c r="F45" s="45" t="s">
        <v>162</v>
      </c>
      <c r="G45" s="44" t="s">
        <v>434</v>
      </c>
      <c r="H45" s="84" t="s">
        <v>253</v>
      </c>
      <c r="I45" s="61" t="s">
        <v>255</v>
      </c>
      <c r="J45" s="61" t="s">
        <v>436</v>
      </c>
      <c r="K45" s="34"/>
      <c r="L45" s="34"/>
    </row>
    <row r="46">
      <c r="A46" s="42">
        <v>46087.0</v>
      </c>
      <c r="B46" s="128" t="s">
        <v>413</v>
      </c>
      <c r="C46" s="128" t="s">
        <v>439</v>
      </c>
      <c r="D46" s="45" t="s">
        <v>133</v>
      </c>
      <c r="E46" s="44" t="s">
        <v>33</v>
      </c>
      <c r="F46" s="45" t="s">
        <v>162</v>
      </c>
      <c r="G46" s="44">
        <v>0.0</v>
      </c>
      <c r="H46" s="135"/>
      <c r="I46" s="61"/>
      <c r="J46" s="48"/>
      <c r="K46" s="34"/>
      <c r="L46" s="34"/>
    </row>
    <row r="47">
      <c r="A47" s="42">
        <v>46118.0</v>
      </c>
      <c r="B47" s="128" t="s">
        <v>413</v>
      </c>
      <c r="C47" s="128" t="s">
        <v>446</v>
      </c>
      <c r="D47" s="45" t="s">
        <v>356</v>
      </c>
      <c r="E47" s="44" t="s">
        <v>33</v>
      </c>
      <c r="F47" s="45" t="s">
        <v>162</v>
      </c>
      <c r="G47" s="44" t="s">
        <v>359</v>
      </c>
      <c r="H47" s="135"/>
      <c r="I47" s="61" t="s">
        <v>361</v>
      </c>
      <c r="J47" s="48"/>
      <c r="K47" s="34"/>
      <c r="L47" s="34"/>
    </row>
    <row r="48">
      <c r="A48" s="42">
        <v>46148.0</v>
      </c>
      <c r="B48" s="128" t="s">
        <v>413</v>
      </c>
      <c r="C48" s="128" t="s">
        <v>450</v>
      </c>
      <c r="D48" s="45" t="s">
        <v>173</v>
      </c>
      <c r="E48" s="44" t="s">
        <v>33</v>
      </c>
      <c r="F48" s="45" t="s">
        <v>162</v>
      </c>
      <c r="G48" s="44" t="s">
        <v>359</v>
      </c>
      <c r="H48" s="135"/>
      <c r="I48" s="61" t="s">
        <v>361</v>
      </c>
      <c r="J48" s="48"/>
      <c r="K48" s="34"/>
      <c r="L48" s="34"/>
    </row>
    <row r="49">
      <c r="A49" s="42">
        <v>46179.0</v>
      </c>
      <c r="B49" s="128" t="s">
        <v>413</v>
      </c>
      <c r="C49" s="128" t="s">
        <v>458</v>
      </c>
      <c r="D49" s="45" t="s">
        <v>141</v>
      </c>
      <c r="E49" s="44" t="s">
        <v>33</v>
      </c>
      <c r="F49" s="45" t="s">
        <v>162</v>
      </c>
      <c r="G49" s="44">
        <v>2.0</v>
      </c>
      <c r="H49" s="84" t="s">
        <v>461</v>
      </c>
      <c r="I49" s="61"/>
      <c r="J49" s="61"/>
      <c r="K49" s="34"/>
      <c r="L49" s="34"/>
    </row>
    <row r="50">
      <c r="A50" s="42">
        <v>46209.0</v>
      </c>
      <c r="B50" s="128" t="s">
        <v>413</v>
      </c>
      <c r="C50" s="128" t="s">
        <v>463</v>
      </c>
      <c r="D50" s="45" t="s">
        <v>465</v>
      </c>
      <c r="E50" s="44" t="s">
        <v>33</v>
      </c>
      <c r="F50" s="45" t="s">
        <v>162</v>
      </c>
      <c r="G50" s="44">
        <v>1.0</v>
      </c>
      <c r="H50" s="142" t="s">
        <v>470</v>
      </c>
      <c r="I50" s="61" t="s">
        <v>475</v>
      </c>
      <c r="J50" s="143" t="s">
        <v>476</v>
      </c>
      <c r="K50" s="34"/>
      <c r="L50" s="34"/>
    </row>
    <row r="51">
      <c r="A51" s="42">
        <v>46240.0</v>
      </c>
      <c r="B51" s="128" t="s">
        <v>413</v>
      </c>
      <c r="C51" s="128" t="s">
        <v>480</v>
      </c>
      <c r="D51" s="45" t="s">
        <v>414</v>
      </c>
      <c r="E51" s="44" t="s">
        <v>33</v>
      </c>
      <c r="F51" s="45" t="s">
        <v>162</v>
      </c>
      <c r="G51" s="44" t="s">
        <v>359</v>
      </c>
      <c r="H51" s="135"/>
      <c r="I51" s="61" t="s">
        <v>485</v>
      </c>
      <c r="J51" s="48"/>
      <c r="K51" s="34"/>
      <c r="L51" s="34"/>
    </row>
    <row r="52">
      <c r="A52" s="42">
        <v>46271.0</v>
      </c>
      <c r="B52" s="128" t="s">
        <v>413</v>
      </c>
      <c r="C52" s="83" t="s">
        <v>487</v>
      </c>
      <c r="D52" s="45" t="s">
        <v>310</v>
      </c>
      <c r="E52" s="44" t="s">
        <v>33</v>
      </c>
      <c r="F52" s="45" t="s">
        <v>162</v>
      </c>
      <c r="G52" s="44" t="s">
        <v>36</v>
      </c>
      <c r="H52" s="135"/>
      <c r="I52" s="61" t="s">
        <v>491</v>
      </c>
      <c r="J52" s="48"/>
      <c r="K52" s="34"/>
      <c r="L52" s="34"/>
    </row>
    <row r="53">
      <c r="A53" s="42">
        <v>46029.0</v>
      </c>
      <c r="B53" s="128" t="s">
        <v>492</v>
      </c>
      <c r="C53" s="83" t="s">
        <v>493</v>
      </c>
      <c r="D53" s="128" t="s">
        <v>494</v>
      </c>
      <c r="E53" s="44" t="s">
        <v>33</v>
      </c>
      <c r="F53" s="45" t="s">
        <v>162</v>
      </c>
      <c r="G53" s="44" t="s">
        <v>359</v>
      </c>
      <c r="H53" s="135"/>
      <c r="I53" s="61" t="s">
        <v>361</v>
      </c>
      <c r="J53" s="61"/>
      <c r="K53" s="34"/>
      <c r="L53" s="34"/>
    </row>
    <row r="54">
      <c r="A54" s="42">
        <v>46060.0</v>
      </c>
      <c r="B54" s="128" t="s">
        <v>492</v>
      </c>
      <c r="C54" s="128" t="s">
        <v>500</v>
      </c>
      <c r="D54" s="128" t="s">
        <v>494</v>
      </c>
      <c r="E54" s="44" t="s">
        <v>33</v>
      </c>
      <c r="F54" s="45" t="s">
        <v>162</v>
      </c>
      <c r="G54" s="44" t="s">
        <v>359</v>
      </c>
      <c r="H54" s="135"/>
      <c r="I54" s="61" t="s">
        <v>361</v>
      </c>
      <c r="J54" s="48"/>
      <c r="K54" s="34"/>
      <c r="L54" s="34"/>
    </row>
    <row r="55">
      <c r="A55" s="42">
        <v>46088.0</v>
      </c>
      <c r="B55" s="128" t="s">
        <v>492</v>
      </c>
      <c r="C55" s="128" t="s">
        <v>504</v>
      </c>
      <c r="D55" s="128" t="s">
        <v>494</v>
      </c>
      <c r="E55" s="44" t="s">
        <v>33</v>
      </c>
      <c r="F55" s="45" t="s">
        <v>162</v>
      </c>
      <c r="G55" s="44" t="s">
        <v>359</v>
      </c>
      <c r="H55" s="135"/>
      <c r="I55" s="61" t="s">
        <v>361</v>
      </c>
      <c r="J55" s="48"/>
      <c r="K55" s="34"/>
      <c r="L55" s="34"/>
    </row>
    <row r="56">
      <c r="A56" s="42">
        <v>46149.0</v>
      </c>
      <c r="B56" s="128" t="s">
        <v>492</v>
      </c>
      <c r="C56" s="128" t="s">
        <v>510</v>
      </c>
      <c r="D56" s="128" t="s">
        <v>494</v>
      </c>
      <c r="E56" s="44" t="s">
        <v>33</v>
      </c>
      <c r="F56" s="45" t="s">
        <v>162</v>
      </c>
      <c r="G56" s="44" t="s">
        <v>359</v>
      </c>
      <c r="H56" s="135"/>
      <c r="I56" s="61" t="s">
        <v>361</v>
      </c>
      <c r="J56" s="48"/>
      <c r="K56" s="34"/>
      <c r="L56" s="34"/>
    </row>
    <row r="57">
      <c r="A57" s="42">
        <v>46180.0</v>
      </c>
      <c r="B57" s="45" t="s">
        <v>492</v>
      </c>
      <c r="C57" s="45" t="s">
        <v>514</v>
      </c>
      <c r="D57" s="45" t="s">
        <v>515</v>
      </c>
      <c r="E57" s="44" t="s">
        <v>33</v>
      </c>
      <c r="F57" s="45" t="s">
        <v>232</v>
      </c>
      <c r="G57" s="153" t="s">
        <v>518</v>
      </c>
      <c r="H57" s="86" t="s">
        <v>526</v>
      </c>
      <c r="I57" s="88"/>
      <c r="J57" s="88"/>
      <c r="K57" s="34"/>
      <c r="L57" s="34"/>
    </row>
    <row r="58">
      <c r="A58" s="42">
        <v>46210.0</v>
      </c>
      <c r="B58" s="45" t="s">
        <v>492</v>
      </c>
      <c r="C58" s="45" t="s">
        <v>528</v>
      </c>
      <c r="D58" s="45" t="s">
        <v>530</v>
      </c>
      <c r="E58" s="44" t="s">
        <v>33</v>
      </c>
      <c r="F58" s="45" t="s">
        <v>232</v>
      </c>
      <c r="G58" s="44">
        <v>0.0</v>
      </c>
      <c r="H58" s="86" t="s">
        <v>526</v>
      </c>
      <c r="I58" s="88"/>
      <c r="J58" s="88"/>
      <c r="K58" s="34"/>
      <c r="L58" s="34"/>
    </row>
    <row r="59">
      <c r="A59" s="42">
        <v>46241.0</v>
      </c>
      <c r="B59" s="45" t="s">
        <v>492</v>
      </c>
      <c r="C59" s="45" t="s">
        <v>531</v>
      </c>
      <c r="D59" s="45" t="s">
        <v>534</v>
      </c>
      <c r="E59" s="44" t="s">
        <v>33</v>
      </c>
      <c r="F59" s="45" t="s">
        <v>232</v>
      </c>
      <c r="G59" s="155">
        <v>1.0</v>
      </c>
      <c r="H59" s="86" t="s">
        <v>539</v>
      </c>
      <c r="I59" s="88"/>
      <c r="J59" s="88"/>
      <c r="K59" s="34"/>
      <c r="L59" s="34"/>
    </row>
    <row r="60">
      <c r="A60" s="42">
        <v>46272.0</v>
      </c>
      <c r="B60" s="128" t="s">
        <v>492</v>
      </c>
      <c r="C60" s="56" t="s">
        <v>546</v>
      </c>
      <c r="D60" s="128" t="s">
        <v>173</v>
      </c>
      <c r="E60" s="44" t="s">
        <v>33</v>
      </c>
      <c r="F60" s="45" t="s">
        <v>162</v>
      </c>
      <c r="G60" s="156" t="s">
        <v>36</v>
      </c>
      <c r="H60" s="87"/>
      <c r="I60" s="48"/>
      <c r="J60" s="48"/>
      <c r="K60" s="34"/>
      <c r="L60" s="34"/>
    </row>
    <row r="61">
      <c r="A61" s="42">
        <v>46302.0</v>
      </c>
      <c r="B61" s="128" t="s">
        <v>492</v>
      </c>
      <c r="C61" s="56" t="s">
        <v>557</v>
      </c>
      <c r="D61" s="128" t="s">
        <v>160</v>
      </c>
      <c r="E61" s="44" t="s">
        <v>33</v>
      </c>
      <c r="F61" s="45" t="s">
        <v>162</v>
      </c>
      <c r="G61" s="156" t="s">
        <v>36</v>
      </c>
      <c r="H61" s="87"/>
      <c r="I61" s="48"/>
      <c r="J61" s="48"/>
      <c r="K61" s="34"/>
      <c r="L61" s="34"/>
    </row>
    <row r="62">
      <c r="A62" s="34"/>
      <c r="B62" s="34"/>
      <c r="C62" s="34"/>
      <c r="D62" s="34"/>
      <c r="E62" s="34"/>
      <c r="F62" s="34"/>
      <c r="G62" s="34"/>
      <c r="H62" s="161"/>
      <c r="I62" s="34"/>
      <c r="J62" s="34"/>
      <c r="K62" s="34"/>
      <c r="L62" s="34"/>
    </row>
    <row r="63">
      <c r="A63" s="34"/>
      <c r="B63" s="34"/>
      <c r="C63" s="34"/>
      <c r="D63" s="34"/>
      <c r="E63" s="34"/>
      <c r="F63" s="34"/>
      <c r="G63" s="34"/>
      <c r="H63" s="161"/>
      <c r="I63" s="34"/>
      <c r="J63" s="34"/>
      <c r="K63" s="34"/>
      <c r="L63" s="34"/>
    </row>
    <row r="64">
      <c r="A64" s="34"/>
      <c r="B64" s="34"/>
      <c r="C64" s="34"/>
      <c r="D64" s="34"/>
      <c r="E64" s="34"/>
      <c r="F64" s="34"/>
      <c r="G64" s="34"/>
      <c r="H64" s="161"/>
      <c r="I64" s="34"/>
      <c r="J64" s="34"/>
      <c r="K64" s="34"/>
      <c r="L64" s="34"/>
    </row>
    <row r="65">
      <c r="A65" s="34"/>
      <c r="B65" s="34"/>
      <c r="C65" s="34"/>
      <c r="D65" s="34"/>
      <c r="E65" s="34"/>
      <c r="F65" s="34"/>
      <c r="G65" s="34"/>
      <c r="H65" s="161"/>
      <c r="I65" s="34"/>
      <c r="J65" s="34"/>
      <c r="K65" s="34"/>
      <c r="L65" s="34"/>
    </row>
    <row r="66">
      <c r="A66" s="34"/>
      <c r="B66" s="34"/>
      <c r="C66" s="34"/>
      <c r="D66" s="34"/>
      <c r="E66" s="34"/>
      <c r="F66" s="34"/>
      <c r="G66" s="34"/>
      <c r="H66" s="161"/>
      <c r="I66" s="34"/>
      <c r="J66" s="34"/>
      <c r="K66" s="34"/>
      <c r="L66" s="34"/>
    </row>
    <row r="67">
      <c r="A67" s="34"/>
      <c r="B67" s="34"/>
      <c r="C67" s="34"/>
      <c r="D67" s="34"/>
      <c r="E67" s="34"/>
      <c r="F67" s="34"/>
      <c r="G67" s="34"/>
      <c r="H67" s="161"/>
      <c r="I67" s="34"/>
      <c r="J67" s="34"/>
      <c r="K67" s="34"/>
      <c r="L67" s="34"/>
    </row>
    <row r="68">
      <c r="A68" s="34"/>
      <c r="B68" s="34"/>
      <c r="C68" s="34"/>
      <c r="D68" s="34"/>
      <c r="E68" s="34"/>
      <c r="F68" s="34"/>
      <c r="G68" s="34"/>
      <c r="H68" s="161"/>
      <c r="I68" s="34"/>
      <c r="J68" s="34"/>
      <c r="K68" s="34"/>
      <c r="L68" s="34"/>
    </row>
    <row r="69">
      <c r="A69" s="34"/>
      <c r="B69" s="34"/>
      <c r="C69" s="34"/>
      <c r="D69" s="34"/>
      <c r="E69" s="34"/>
      <c r="F69" s="34"/>
      <c r="G69" s="34"/>
      <c r="H69" s="161"/>
      <c r="I69" s="34"/>
      <c r="J69" s="34"/>
      <c r="K69" s="34"/>
      <c r="L69" s="34"/>
    </row>
    <row r="70">
      <c r="A70" s="34"/>
      <c r="B70" s="34"/>
      <c r="C70" s="34"/>
      <c r="D70" s="34"/>
      <c r="E70" s="34"/>
      <c r="F70" s="34"/>
      <c r="G70" s="34"/>
      <c r="H70" s="161"/>
      <c r="I70" s="34"/>
      <c r="J70" s="34"/>
      <c r="K70" s="34"/>
      <c r="L70" s="34"/>
    </row>
    <row r="71">
      <c r="A71" s="34"/>
      <c r="B71" s="34"/>
      <c r="C71" s="34"/>
      <c r="D71" s="34"/>
      <c r="E71" s="34"/>
      <c r="F71" s="34"/>
      <c r="G71" s="34"/>
      <c r="H71" s="161"/>
      <c r="I71" s="34"/>
      <c r="J71" s="34"/>
      <c r="K71" s="34"/>
      <c r="L71" s="34"/>
    </row>
    <row r="72">
      <c r="A72" s="34"/>
      <c r="B72" s="34"/>
      <c r="C72" s="34"/>
      <c r="D72" s="34"/>
      <c r="E72" s="34"/>
      <c r="F72" s="34"/>
      <c r="G72" s="34"/>
      <c r="H72" s="161"/>
      <c r="I72" s="34"/>
      <c r="J72" s="34"/>
      <c r="K72" s="34"/>
      <c r="L72" s="34"/>
    </row>
    <row r="73">
      <c r="A73" s="34"/>
      <c r="B73" s="34"/>
      <c r="C73" s="34"/>
      <c r="D73" s="34"/>
      <c r="E73" s="34"/>
      <c r="F73" s="34"/>
      <c r="G73" s="34"/>
      <c r="H73" s="161"/>
      <c r="I73" s="34"/>
      <c r="J73" s="34"/>
      <c r="K73" s="34"/>
      <c r="L73" s="34"/>
    </row>
    <row r="74">
      <c r="A74" s="34"/>
      <c r="B74" s="34"/>
      <c r="C74" s="34"/>
      <c r="D74" s="34"/>
      <c r="E74" s="34"/>
      <c r="F74" s="34"/>
      <c r="G74" s="34"/>
      <c r="H74" s="161"/>
      <c r="I74" s="34"/>
      <c r="J74" s="34"/>
      <c r="K74" s="34"/>
      <c r="L74" s="34"/>
    </row>
    <row r="75">
      <c r="A75" s="34"/>
      <c r="B75" s="34"/>
      <c r="C75" s="34"/>
      <c r="D75" s="34"/>
      <c r="E75" s="34"/>
      <c r="F75" s="34"/>
      <c r="G75" s="34"/>
      <c r="H75" s="161"/>
      <c r="I75" s="34"/>
      <c r="J75" s="34"/>
      <c r="K75" s="34"/>
      <c r="L75" s="34"/>
    </row>
  </sheetData>
  <mergeCells count="1">
    <mergeCell ref="A1:B1"/>
  </mergeCells>
  <dataValidations>
    <dataValidation type="list" allowBlank="1" showErrorMessage="1" sqref="E3:E61">
      <formula1>"Mensual,Semestral,Anual"</formula1>
    </dataValidation>
  </dataValidations>
  <hyperlinks>
    <hyperlink r:id="rId2" ref="C1"/>
    <hyperlink r:id="rId3" ref="H9"/>
    <hyperlink r:id="rId4" ref="H10"/>
    <hyperlink r:id="rId5" location="gid=1233620087" ref="G11"/>
    <hyperlink r:id="rId6" ref="G12"/>
    <hyperlink r:id="rId7" ref="H21"/>
    <hyperlink r:id="rId8" location="gid=359438294" ref="G23"/>
    <hyperlink r:id="rId9" ref="I24"/>
    <hyperlink r:id="rId10" ref="G25"/>
    <hyperlink r:id="rId11" ref="I26"/>
    <hyperlink r:id="rId12" ref="G27"/>
    <hyperlink r:id="rId13" ref="G28"/>
    <hyperlink r:id="rId14" ref="G29"/>
    <hyperlink r:id="rId15" ref="G30"/>
    <hyperlink r:id="rId16" ref="I31"/>
    <hyperlink r:id="rId17" location="gid=1564101999" ref="G37"/>
    <hyperlink r:id="rId18" ref="G41"/>
    <hyperlink r:id="rId19" ref="H50"/>
    <hyperlink r:id="rId20" location="gid=0" ref="G5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1"/>
  <legacyDrawing r:id="rId22"/>
  <tableParts count="1">
    <tablePart r:id="rId2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7.43"/>
    <col customWidth="1" min="3" max="3" width="15.29"/>
    <col customWidth="1" min="4" max="4" width="15.71"/>
    <col customWidth="1" min="5" max="5" width="8.0"/>
    <col customWidth="1" min="6" max="6" width="28.0"/>
    <col customWidth="1" min="7" max="7" width="22.0"/>
    <col customWidth="1" min="8" max="8" width="18.0"/>
    <col customWidth="1" min="9" max="9" width="24.0"/>
    <col customWidth="1" min="10" max="11" width="14.0"/>
    <col customWidth="1" min="12" max="12" width="22.0"/>
    <col customWidth="1" min="13" max="13" width="18.0"/>
    <col customWidth="1" min="14" max="14" width="26.29"/>
    <col customWidth="1" min="15" max="16" width="8.71"/>
  </cols>
  <sheetData>
    <row r="1">
      <c r="A1" s="69" t="s">
        <v>192</v>
      </c>
      <c r="B1" s="69" t="s">
        <v>195</v>
      </c>
      <c r="C1" s="69" t="s">
        <v>197</v>
      </c>
      <c r="D1" s="69" t="s">
        <v>201</v>
      </c>
      <c r="E1" s="69" t="s">
        <v>101</v>
      </c>
      <c r="F1" s="69" t="s">
        <v>87</v>
      </c>
      <c r="G1" s="69" t="s">
        <v>90</v>
      </c>
      <c r="H1" s="69" t="s">
        <v>5</v>
      </c>
      <c r="I1" s="69" t="s">
        <v>119</v>
      </c>
      <c r="J1" s="69" t="s">
        <v>205</v>
      </c>
      <c r="K1" s="69" t="s">
        <v>206</v>
      </c>
      <c r="L1" s="69" t="s">
        <v>207</v>
      </c>
      <c r="M1" s="69" t="s">
        <v>209</v>
      </c>
      <c r="N1" s="69" t="s">
        <v>212</v>
      </c>
    </row>
    <row r="2">
      <c r="A2" s="73" t="s">
        <v>213</v>
      </c>
      <c r="B2" s="74" t="s">
        <v>216</v>
      </c>
      <c r="C2" s="74" t="s">
        <v>217</v>
      </c>
      <c r="D2" s="74" t="s">
        <v>219</v>
      </c>
      <c r="E2" s="75">
        <v>46116.0</v>
      </c>
      <c r="F2" s="74" t="s">
        <v>222</v>
      </c>
      <c r="G2" s="76" t="s">
        <v>225</v>
      </c>
      <c r="H2" s="77" t="s">
        <v>14</v>
      </c>
      <c r="I2" s="74" t="s">
        <v>232</v>
      </c>
      <c r="J2" s="74" t="s">
        <v>233</v>
      </c>
      <c r="K2" s="74" t="s">
        <v>235</v>
      </c>
      <c r="L2" s="74" t="s">
        <v>237</v>
      </c>
      <c r="M2" s="74" t="s">
        <v>238</v>
      </c>
      <c r="N2" s="79" t="s">
        <v>240</v>
      </c>
    </row>
    <row r="3">
      <c r="A3" s="80">
        <v>45962.0</v>
      </c>
      <c r="B3" s="74" t="s">
        <v>216</v>
      </c>
      <c r="C3" s="74" t="s">
        <v>217</v>
      </c>
      <c r="D3" s="74" t="s">
        <v>219</v>
      </c>
      <c r="E3" s="75">
        <v>46116.0</v>
      </c>
      <c r="F3" s="74" t="s">
        <v>222</v>
      </c>
      <c r="G3" s="76" t="s">
        <v>225</v>
      </c>
      <c r="H3" s="77" t="s">
        <v>14</v>
      </c>
      <c r="I3" s="74" t="s">
        <v>232</v>
      </c>
      <c r="J3" s="74" t="s">
        <v>247</v>
      </c>
      <c r="K3" s="74" t="s">
        <v>235</v>
      </c>
      <c r="L3" s="74" t="s">
        <v>237</v>
      </c>
      <c r="M3" s="74" t="s">
        <v>238</v>
      </c>
      <c r="N3" s="79" t="s">
        <v>240</v>
      </c>
    </row>
    <row r="4">
      <c r="A4" s="80">
        <v>45992.0</v>
      </c>
      <c r="B4" s="74" t="s">
        <v>257</v>
      </c>
      <c r="C4" s="74" t="s">
        <v>217</v>
      </c>
      <c r="D4" s="74" t="s">
        <v>219</v>
      </c>
      <c r="E4" s="75">
        <v>46116.0</v>
      </c>
      <c r="F4" s="74" t="s">
        <v>222</v>
      </c>
      <c r="G4" s="76" t="s">
        <v>225</v>
      </c>
      <c r="H4" s="77" t="s">
        <v>14</v>
      </c>
      <c r="I4" s="74" t="s">
        <v>232</v>
      </c>
      <c r="J4" s="74" t="s">
        <v>262</v>
      </c>
      <c r="K4" s="74" t="s">
        <v>235</v>
      </c>
      <c r="L4" s="74" t="s">
        <v>237</v>
      </c>
      <c r="M4" s="74" t="s">
        <v>238</v>
      </c>
      <c r="N4" s="79" t="s">
        <v>240</v>
      </c>
    </row>
    <row r="5">
      <c r="A5" s="80">
        <v>46023.0</v>
      </c>
      <c r="B5" s="74" t="s">
        <v>216</v>
      </c>
      <c r="C5" s="74" t="s">
        <v>270</v>
      </c>
      <c r="D5" s="74" t="s">
        <v>271</v>
      </c>
      <c r="E5" s="75">
        <v>46116.0</v>
      </c>
      <c r="F5" s="74" t="s">
        <v>222</v>
      </c>
      <c r="G5" s="76" t="s">
        <v>225</v>
      </c>
      <c r="H5" s="77" t="s">
        <v>14</v>
      </c>
      <c r="I5" s="74" t="s">
        <v>232</v>
      </c>
      <c r="J5" s="74" t="s">
        <v>275</v>
      </c>
      <c r="K5" s="74" t="s">
        <v>235</v>
      </c>
      <c r="L5" s="74" t="s">
        <v>237</v>
      </c>
      <c r="M5" s="74" t="s">
        <v>238</v>
      </c>
      <c r="N5" s="79" t="s">
        <v>240</v>
      </c>
    </row>
    <row r="6">
      <c r="A6" s="80">
        <v>46054.0</v>
      </c>
      <c r="B6" s="74" t="s">
        <v>216</v>
      </c>
      <c r="C6" s="74" t="s">
        <v>270</v>
      </c>
      <c r="D6" s="74" t="s">
        <v>271</v>
      </c>
      <c r="E6" s="75">
        <v>46116.0</v>
      </c>
      <c r="F6" s="74" t="s">
        <v>222</v>
      </c>
      <c r="G6" s="76" t="s">
        <v>225</v>
      </c>
      <c r="H6" s="77" t="s">
        <v>14</v>
      </c>
      <c r="I6" s="74" t="s">
        <v>232</v>
      </c>
      <c r="J6" s="74" t="s">
        <v>290</v>
      </c>
      <c r="K6" s="74" t="s">
        <v>235</v>
      </c>
      <c r="L6" s="74" t="s">
        <v>237</v>
      </c>
      <c r="M6" s="74" t="s">
        <v>238</v>
      </c>
      <c r="N6" s="79" t="s">
        <v>240</v>
      </c>
    </row>
    <row r="7">
      <c r="A7" s="93">
        <v>46082.0</v>
      </c>
      <c r="B7" s="74" t="s">
        <v>216</v>
      </c>
      <c r="C7" s="74" t="s">
        <v>270</v>
      </c>
      <c r="D7" s="74" t="s">
        <v>271</v>
      </c>
      <c r="E7" s="75">
        <v>46116.0</v>
      </c>
      <c r="F7" s="74" t="s">
        <v>222</v>
      </c>
      <c r="G7" s="76" t="s">
        <v>225</v>
      </c>
      <c r="H7" s="77" t="s">
        <v>14</v>
      </c>
      <c r="I7" s="74" t="s">
        <v>232</v>
      </c>
      <c r="J7" s="74" t="s">
        <v>297</v>
      </c>
      <c r="K7" s="74" t="s">
        <v>235</v>
      </c>
      <c r="L7" s="74" t="s">
        <v>237</v>
      </c>
      <c r="M7" s="74" t="s">
        <v>238</v>
      </c>
      <c r="N7" s="79" t="s">
        <v>240</v>
      </c>
    </row>
    <row r="8">
      <c r="A8" s="96" t="s">
        <v>304</v>
      </c>
      <c r="B8" s="74" t="s">
        <v>216</v>
      </c>
      <c r="C8" s="74" t="s">
        <v>270</v>
      </c>
      <c r="D8" s="74" t="s">
        <v>271</v>
      </c>
      <c r="E8" s="75">
        <v>46116.0</v>
      </c>
      <c r="F8" s="74" t="s">
        <v>222</v>
      </c>
      <c r="G8" s="76" t="s">
        <v>225</v>
      </c>
      <c r="H8" s="77" t="s">
        <v>14</v>
      </c>
      <c r="I8" s="74" t="s">
        <v>232</v>
      </c>
      <c r="J8" s="74" t="s">
        <v>297</v>
      </c>
      <c r="K8" s="74" t="s">
        <v>235</v>
      </c>
      <c r="L8" s="74" t="s">
        <v>237</v>
      </c>
      <c r="M8" s="99" t="s">
        <v>238</v>
      </c>
      <c r="N8" s="79" t="s">
        <v>240</v>
      </c>
    </row>
    <row r="9">
      <c r="A9" s="80">
        <v>46029.0</v>
      </c>
      <c r="B9" s="74" t="s">
        <v>257</v>
      </c>
      <c r="C9" s="74" t="s">
        <v>217</v>
      </c>
      <c r="D9" s="74" t="s">
        <v>219</v>
      </c>
      <c r="E9" s="100">
        <v>46207.0</v>
      </c>
      <c r="F9" s="74" t="s">
        <v>322</v>
      </c>
      <c r="G9" s="76" t="s">
        <v>323</v>
      </c>
      <c r="H9" s="77" t="s">
        <v>24</v>
      </c>
      <c r="I9" s="74" t="s">
        <v>232</v>
      </c>
      <c r="J9" s="74" t="s">
        <v>325</v>
      </c>
      <c r="K9" s="76" t="s">
        <v>327</v>
      </c>
      <c r="L9" s="76" t="s">
        <v>328</v>
      </c>
      <c r="M9" s="74" t="s">
        <v>238</v>
      </c>
      <c r="N9" s="79" t="s">
        <v>240</v>
      </c>
    </row>
    <row r="10">
      <c r="A10" s="96" t="s">
        <v>304</v>
      </c>
      <c r="B10" s="74" t="s">
        <v>257</v>
      </c>
      <c r="C10" s="74" t="s">
        <v>270</v>
      </c>
      <c r="D10" s="74" t="s">
        <v>271</v>
      </c>
      <c r="E10" s="100">
        <v>46207.0</v>
      </c>
      <c r="F10" s="74" t="s">
        <v>322</v>
      </c>
      <c r="G10" s="76" t="s">
        <v>323</v>
      </c>
      <c r="H10" s="77" t="s">
        <v>24</v>
      </c>
      <c r="I10" s="74" t="s">
        <v>232</v>
      </c>
      <c r="J10" s="74" t="s">
        <v>333</v>
      </c>
      <c r="K10" s="76" t="s">
        <v>327</v>
      </c>
      <c r="L10" s="76" t="s">
        <v>328</v>
      </c>
      <c r="M10" s="99" t="s">
        <v>238</v>
      </c>
      <c r="N10" s="79" t="s">
        <v>240</v>
      </c>
    </row>
    <row r="11">
      <c r="A11" s="80">
        <v>46029.0</v>
      </c>
      <c r="B11" s="74" t="s">
        <v>216</v>
      </c>
      <c r="C11" s="74" t="s">
        <v>217</v>
      </c>
      <c r="D11" s="74" t="s">
        <v>219</v>
      </c>
      <c r="E11" s="75">
        <v>46239.0</v>
      </c>
      <c r="F11" s="74" t="s">
        <v>344</v>
      </c>
      <c r="G11" s="74" t="s">
        <v>323</v>
      </c>
      <c r="H11" s="96" t="s">
        <v>24</v>
      </c>
      <c r="I11" s="74" t="s">
        <v>345</v>
      </c>
      <c r="J11" s="107">
        <v>0.72</v>
      </c>
      <c r="K11" s="74" t="s">
        <v>235</v>
      </c>
      <c r="L11" s="76" t="s">
        <v>347</v>
      </c>
      <c r="M11" s="74" t="s">
        <v>238</v>
      </c>
      <c r="N11" s="108" t="s">
        <v>348</v>
      </c>
    </row>
    <row r="12">
      <c r="A12" s="96" t="s">
        <v>304</v>
      </c>
      <c r="B12" s="74" t="s">
        <v>216</v>
      </c>
      <c r="C12" s="74" t="s">
        <v>270</v>
      </c>
      <c r="D12" s="74" t="s">
        <v>271</v>
      </c>
      <c r="E12" s="75">
        <v>46239.0</v>
      </c>
      <c r="F12" s="74" t="s">
        <v>344</v>
      </c>
      <c r="G12" s="74" t="s">
        <v>323</v>
      </c>
      <c r="H12" s="96" t="s">
        <v>24</v>
      </c>
      <c r="I12" s="74" t="s">
        <v>345</v>
      </c>
      <c r="J12" s="109" t="s">
        <v>358</v>
      </c>
      <c r="K12" s="77" t="s">
        <v>304</v>
      </c>
      <c r="L12" s="96" t="s">
        <v>304</v>
      </c>
      <c r="M12" s="77" t="s">
        <v>304</v>
      </c>
      <c r="N12" s="110" t="s">
        <v>363</v>
      </c>
    </row>
    <row r="13">
      <c r="A13" s="80">
        <v>46023.0</v>
      </c>
      <c r="B13" s="74" t="s">
        <v>216</v>
      </c>
      <c r="C13" s="74" t="s">
        <v>217</v>
      </c>
      <c r="D13" s="74" t="s">
        <v>219</v>
      </c>
      <c r="E13" s="100">
        <v>46024.0</v>
      </c>
      <c r="F13" s="74" t="s">
        <v>367</v>
      </c>
      <c r="G13" s="76" t="s">
        <v>202</v>
      </c>
      <c r="H13" s="77" t="s">
        <v>14</v>
      </c>
      <c r="I13" s="74" t="s">
        <v>345</v>
      </c>
      <c r="J13" s="77">
        <v>5.0</v>
      </c>
      <c r="K13" s="77" t="s">
        <v>304</v>
      </c>
      <c r="L13" s="96" t="s">
        <v>371</v>
      </c>
      <c r="M13" s="74" t="s">
        <v>238</v>
      </c>
      <c r="N13" s="79" t="s">
        <v>240</v>
      </c>
    </row>
    <row r="14">
      <c r="A14" s="80">
        <v>46023.0</v>
      </c>
      <c r="B14" s="74" t="s">
        <v>216</v>
      </c>
      <c r="C14" s="74" t="s">
        <v>217</v>
      </c>
      <c r="D14" s="74" t="s">
        <v>219</v>
      </c>
      <c r="E14" s="100">
        <v>46024.0</v>
      </c>
      <c r="F14" s="74" t="s">
        <v>367</v>
      </c>
      <c r="G14" s="76" t="s">
        <v>202</v>
      </c>
      <c r="H14" s="77" t="s">
        <v>14</v>
      </c>
      <c r="I14" s="74" t="s">
        <v>345</v>
      </c>
      <c r="J14" s="77">
        <v>5.0</v>
      </c>
      <c r="K14" s="77" t="s">
        <v>304</v>
      </c>
      <c r="L14" s="96" t="s">
        <v>371</v>
      </c>
      <c r="M14" s="74" t="s">
        <v>238</v>
      </c>
      <c r="N14" s="79" t="s">
        <v>240</v>
      </c>
    </row>
    <row r="15">
      <c r="A15" s="80">
        <v>46023.0</v>
      </c>
      <c r="B15" s="74" t="s">
        <v>216</v>
      </c>
      <c r="C15" s="74" t="s">
        <v>217</v>
      </c>
      <c r="D15" s="74" t="s">
        <v>219</v>
      </c>
      <c r="E15" s="100">
        <v>46024.0</v>
      </c>
      <c r="F15" s="74" t="s">
        <v>367</v>
      </c>
      <c r="G15" s="76" t="s">
        <v>202</v>
      </c>
      <c r="H15" s="77" t="s">
        <v>14</v>
      </c>
      <c r="I15" s="74" t="s">
        <v>345</v>
      </c>
      <c r="J15" s="77">
        <v>5.0</v>
      </c>
      <c r="K15" s="77" t="s">
        <v>304</v>
      </c>
      <c r="L15" s="96" t="s">
        <v>371</v>
      </c>
      <c r="M15" s="74" t="s">
        <v>238</v>
      </c>
      <c r="N15" s="79" t="s">
        <v>240</v>
      </c>
    </row>
    <row r="16">
      <c r="A16" s="80">
        <v>46023.0</v>
      </c>
      <c r="B16" s="74" t="s">
        <v>216</v>
      </c>
      <c r="C16" s="74" t="s">
        <v>217</v>
      </c>
      <c r="D16" s="74" t="s">
        <v>219</v>
      </c>
      <c r="E16" s="100">
        <v>46024.0</v>
      </c>
      <c r="F16" s="74" t="s">
        <v>367</v>
      </c>
      <c r="G16" s="76" t="s">
        <v>202</v>
      </c>
      <c r="H16" s="77" t="s">
        <v>14</v>
      </c>
      <c r="I16" s="74" t="s">
        <v>345</v>
      </c>
      <c r="J16" s="77">
        <v>4.0</v>
      </c>
      <c r="K16" s="77" t="s">
        <v>304</v>
      </c>
      <c r="L16" s="96" t="s">
        <v>371</v>
      </c>
      <c r="M16" s="74" t="s">
        <v>238</v>
      </c>
      <c r="N16" s="79" t="s">
        <v>240</v>
      </c>
    </row>
    <row r="17">
      <c r="A17" s="115" t="s">
        <v>304</v>
      </c>
      <c r="B17" s="116" t="s">
        <v>216</v>
      </c>
      <c r="C17" s="116" t="s">
        <v>270</v>
      </c>
      <c r="D17" s="117" t="s">
        <v>271</v>
      </c>
      <c r="E17" s="118">
        <v>46024.0</v>
      </c>
      <c r="F17" s="117" t="s">
        <v>367</v>
      </c>
      <c r="G17" s="117" t="s">
        <v>202</v>
      </c>
      <c r="H17" s="119" t="s">
        <v>14</v>
      </c>
      <c r="I17" s="74" t="s">
        <v>345</v>
      </c>
      <c r="J17" s="122">
        <v>4.0</v>
      </c>
      <c r="K17" s="119" t="s">
        <v>304</v>
      </c>
      <c r="L17" s="96" t="s">
        <v>371</v>
      </c>
      <c r="M17" s="74" t="s">
        <v>238</v>
      </c>
      <c r="N17" s="79" t="s">
        <v>240</v>
      </c>
    </row>
    <row r="18">
      <c r="A18" s="115" t="s">
        <v>304</v>
      </c>
      <c r="B18" s="116" t="s">
        <v>216</v>
      </c>
      <c r="C18" s="116" t="s">
        <v>270</v>
      </c>
      <c r="D18" s="117" t="s">
        <v>271</v>
      </c>
      <c r="E18" s="118">
        <v>46024.0</v>
      </c>
      <c r="F18" s="117" t="s">
        <v>367</v>
      </c>
      <c r="G18" s="117" t="s">
        <v>202</v>
      </c>
      <c r="H18" s="119" t="s">
        <v>14</v>
      </c>
      <c r="I18" s="74" t="s">
        <v>345</v>
      </c>
      <c r="J18" s="122">
        <v>5.0</v>
      </c>
      <c r="K18" s="119" t="s">
        <v>304</v>
      </c>
      <c r="L18" s="96" t="s">
        <v>371</v>
      </c>
      <c r="M18" s="74" t="s">
        <v>238</v>
      </c>
      <c r="N18" s="79" t="s">
        <v>240</v>
      </c>
    </row>
    <row r="19">
      <c r="A19" s="115" t="s">
        <v>304</v>
      </c>
      <c r="B19" s="116" t="s">
        <v>216</v>
      </c>
      <c r="C19" s="116" t="s">
        <v>270</v>
      </c>
      <c r="D19" s="117" t="s">
        <v>271</v>
      </c>
      <c r="E19" s="118">
        <v>46024.0</v>
      </c>
      <c r="F19" s="117" t="s">
        <v>367</v>
      </c>
      <c r="G19" s="117" t="s">
        <v>202</v>
      </c>
      <c r="H19" s="119" t="s">
        <v>14</v>
      </c>
      <c r="I19" s="74" t="s">
        <v>345</v>
      </c>
      <c r="J19" s="122" t="s">
        <v>438</v>
      </c>
      <c r="K19" s="119" t="s">
        <v>304</v>
      </c>
      <c r="L19" s="96" t="s">
        <v>371</v>
      </c>
      <c r="M19" s="134" t="s">
        <v>238</v>
      </c>
      <c r="N19" s="79" t="s">
        <v>240</v>
      </c>
    </row>
    <row r="20">
      <c r="A20" s="96" t="s">
        <v>304</v>
      </c>
      <c r="B20" s="74" t="s">
        <v>216</v>
      </c>
      <c r="C20" s="74" t="s">
        <v>270</v>
      </c>
      <c r="D20" s="117" t="s">
        <v>271</v>
      </c>
      <c r="E20" s="100">
        <v>46024.0</v>
      </c>
      <c r="F20" s="74" t="s">
        <v>367</v>
      </c>
      <c r="G20" s="117" t="s">
        <v>202</v>
      </c>
      <c r="H20" s="77" t="s">
        <v>14</v>
      </c>
      <c r="I20" s="74" t="s">
        <v>345</v>
      </c>
      <c r="J20" s="77" t="s">
        <v>304</v>
      </c>
      <c r="K20" s="77" t="s">
        <v>304</v>
      </c>
      <c r="L20" s="96" t="s">
        <v>304</v>
      </c>
      <c r="M20" s="77" t="s">
        <v>304</v>
      </c>
      <c r="N20" s="110" t="s">
        <v>363</v>
      </c>
    </row>
    <row r="21">
      <c r="A21" s="96" t="s">
        <v>304</v>
      </c>
      <c r="B21" s="74" t="s">
        <v>216</v>
      </c>
      <c r="C21" s="74" t="s">
        <v>217</v>
      </c>
      <c r="D21" s="74" t="s">
        <v>219</v>
      </c>
      <c r="E21" s="75">
        <v>46270.0</v>
      </c>
      <c r="F21" s="74" t="s">
        <v>459</v>
      </c>
      <c r="G21" s="74" t="s">
        <v>323</v>
      </c>
      <c r="H21" s="96" t="s">
        <v>24</v>
      </c>
      <c r="I21" s="74" t="s">
        <v>460</v>
      </c>
      <c r="J21" s="77" t="s">
        <v>304</v>
      </c>
      <c r="K21" s="77" t="s">
        <v>304</v>
      </c>
      <c r="L21" s="96" t="s">
        <v>304</v>
      </c>
      <c r="M21" s="77" t="s">
        <v>304</v>
      </c>
      <c r="N21" s="141" t="s">
        <v>462</v>
      </c>
    </row>
    <row r="22">
      <c r="A22" s="96" t="s">
        <v>304</v>
      </c>
      <c r="B22" s="74" t="s">
        <v>216</v>
      </c>
      <c r="C22" s="74" t="s">
        <v>270</v>
      </c>
      <c r="D22" s="74" t="s">
        <v>271</v>
      </c>
      <c r="E22" s="75">
        <v>46270.0</v>
      </c>
      <c r="F22" s="74" t="s">
        <v>459</v>
      </c>
      <c r="G22" s="74" t="s">
        <v>323</v>
      </c>
      <c r="H22" s="96" t="s">
        <v>24</v>
      </c>
      <c r="I22" s="74" t="s">
        <v>460</v>
      </c>
      <c r="J22" s="77" t="s">
        <v>304</v>
      </c>
      <c r="K22" s="77" t="s">
        <v>304</v>
      </c>
      <c r="L22" s="96" t="s">
        <v>304</v>
      </c>
      <c r="M22" s="77" t="s">
        <v>304</v>
      </c>
      <c r="N22" s="141" t="s">
        <v>462</v>
      </c>
    </row>
    <row r="23">
      <c r="A23" s="93">
        <v>46082.0</v>
      </c>
      <c r="B23" s="74" t="s">
        <v>216</v>
      </c>
      <c r="C23" s="116" t="s">
        <v>270</v>
      </c>
      <c r="D23" s="117" t="s">
        <v>271</v>
      </c>
      <c r="E23" s="75">
        <v>46266.0</v>
      </c>
      <c r="F23" s="74" t="s">
        <v>174</v>
      </c>
      <c r="G23" s="76" t="s">
        <v>332</v>
      </c>
      <c r="H23" s="77" t="s">
        <v>33</v>
      </c>
      <c r="I23" s="74" t="s">
        <v>478</v>
      </c>
      <c r="J23" s="144">
        <v>20.0</v>
      </c>
      <c r="K23" s="77" t="s">
        <v>100</v>
      </c>
      <c r="L23" s="146" t="s">
        <v>98</v>
      </c>
      <c r="M23" s="77" t="s">
        <v>488</v>
      </c>
      <c r="N23" s="144" t="s">
        <v>489</v>
      </c>
    </row>
    <row r="24">
      <c r="A24" s="93">
        <v>46082.0</v>
      </c>
      <c r="B24" s="74" t="s">
        <v>216</v>
      </c>
      <c r="C24" s="116" t="s">
        <v>270</v>
      </c>
      <c r="D24" s="117" t="s">
        <v>271</v>
      </c>
      <c r="E24" s="75">
        <v>46296.0</v>
      </c>
      <c r="F24" s="74" t="s">
        <v>183</v>
      </c>
      <c r="G24" s="76" t="s">
        <v>332</v>
      </c>
      <c r="H24" s="77" t="s">
        <v>33</v>
      </c>
      <c r="I24" s="74" t="s">
        <v>478</v>
      </c>
      <c r="J24" s="148">
        <v>1.0</v>
      </c>
      <c r="K24" s="77" t="s">
        <v>235</v>
      </c>
      <c r="L24" s="146" t="s">
        <v>98</v>
      </c>
      <c r="M24" s="77" t="s">
        <v>488</v>
      </c>
      <c r="N24" s="144" t="s">
        <v>489</v>
      </c>
    </row>
    <row r="25">
      <c r="A25" s="93">
        <v>46082.0</v>
      </c>
      <c r="B25" s="74" t="s">
        <v>216</v>
      </c>
      <c r="C25" s="116" t="s">
        <v>270</v>
      </c>
      <c r="D25" s="117" t="s">
        <v>271</v>
      </c>
      <c r="E25" s="100">
        <v>46027.0</v>
      </c>
      <c r="F25" s="76" t="s">
        <v>503</v>
      </c>
      <c r="G25" s="74" t="s">
        <v>323</v>
      </c>
      <c r="H25" s="77" t="s">
        <v>33</v>
      </c>
      <c r="I25" s="74" t="s">
        <v>478</v>
      </c>
      <c r="J25" s="150">
        <v>46143.0</v>
      </c>
      <c r="K25" s="77" t="s">
        <v>100</v>
      </c>
      <c r="L25" s="152" t="s">
        <v>376</v>
      </c>
      <c r="M25" s="77" t="s">
        <v>488</v>
      </c>
      <c r="N25" s="144" t="s">
        <v>489</v>
      </c>
    </row>
    <row r="26">
      <c r="A26" s="93">
        <v>46082.0</v>
      </c>
      <c r="B26" s="74" t="s">
        <v>216</v>
      </c>
      <c r="C26" s="116" t="s">
        <v>270</v>
      </c>
      <c r="D26" s="117" t="s">
        <v>271</v>
      </c>
      <c r="E26" s="100">
        <v>46058.0</v>
      </c>
      <c r="F26" s="74" t="s">
        <v>517</v>
      </c>
      <c r="G26" s="74" t="s">
        <v>323</v>
      </c>
      <c r="H26" s="77" t="s">
        <v>33</v>
      </c>
      <c r="I26" s="74" t="s">
        <v>478</v>
      </c>
      <c r="J26" s="74" t="s">
        <v>522</v>
      </c>
      <c r="K26" s="77" t="s">
        <v>304</v>
      </c>
      <c r="L26" s="74" t="s">
        <v>304</v>
      </c>
      <c r="M26" s="74" t="s">
        <v>304</v>
      </c>
      <c r="N26" s="144" t="s">
        <v>489</v>
      </c>
    </row>
    <row r="27">
      <c r="A27" s="93">
        <v>46082.0</v>
      </c>
      <c r="B27" s="74" t="s">
        <v>216</v>
      </c>
      <c r="C27" s="116" t="s">
        <v>270</v>
      </c>
      <c r="D27" s="117" t="s">
        <v>271</v>
      </c>
      <c r="E27" s="100">
        <v>46117.0</v>
      </c>
      <c r="F27" s="76" t="s">
        <v>527</v>
      </c>
      <c r="G27" s="74" t="s">
        <v>323</v>
      </c>
      <c r="H27" s="77" t="s">
        <v>33</v>
      </c>
      <c r="I27" s="74" t="s">
        <v>478</v>
      </c>
      <c r="J27" s="76">
        <v>0.0</v>
      </c>
      <c r="K27" s="77" t="s">
        <v>304</v>
      </c>
      <c r="L27" s="74" t="s">
        <v>304</v>
      </c>
      <c r="M27" s="74" t="s">
        <v>304</v>
      </c>
      <c r="N27" s="144" t="s">
        <v>489</v>
      </c>
    </row>
    <row r="28">
      <c r="A28" s="93">
        <v>46082.0</v>
      </c>
      <c r="B28" s="74" t="s">
        <v>216</v>
      </c>
      <c r="C28" s="116" t="s">
        <v>270</v>
      </c>
      <c r="D28" s="117" t="s">
        <v>271</v>
      </c>
      <c r="E28" s="75">
        <v>46178.0</v>
      </c>
      <c r="F28" s="74" t="s">
        <v>537</v>
      </c>
      <c r="G28" s="74" t="s">
        <v>323</v>
      </c>
      <c r="H28" s="77" t="s">
        <v>33</v>
      </c>
      <c r="I28" s="74" t="s">
        <v>478</v>
      </c>
      <c r="J28" s="74">
        <v>4.0</v>
      </c>
      <c r="K28" s="77" t="s">
        <v>100</v>
      </c>
      <c r="L28" s="146" t="s">
        <v>407</v>
      </c>
      <c r="M28" s="77" t="s">
        <v>488</v>
      </c>
      <c r="N28" s="144" t="s">
        <v>489</v>
      </c>
    </row>
    <row r="29">
      <c r="A29" s="93">
        <v>46082.0</v>
      </c>
      <c r="B29" s="74" t="s">
        <v>216</v>
      </c>
      <c r="C29" s="116" t="s">
        <v>270</v>
      </c>
      <c r="D29" s="117" t="s">
        <v>271</v>
      </c>
      <c r="E29" s="157">
        <v>46115.0</v>
      </c>
      <c r="F29" s="74" t="s">
        <v>291</v>
      </c>
      <c r="G29" s="158" t="s">
        <v>558</v>
      </c>
      <c r="H29" s="77" t="s">
        <v>33</v>
      </c>
      <c r="I29" s="74" t="s">
        <v>232</v>
      </c>
      <c r="J29" s="74" t="s">
        <v>522</v>
      </c>
      <c r="K29" s="77" t="s">
        <v>235</v>
      </c>
      <c r="L29" s="158" t="s">
        <v>561</v>
      </c>
      <c r="M29" s="74" t="s">
        <v>238</v>
      </c>
      <c r="N29" s="144" t="s">
        <v>489</v>
      </c>
    </row>
    <row r="30">
      <c r="A30" s="160"/>
      <c r="B30" s="162"/>
      <c r="C30" s="162"/>
      <c r="D30" s="162"/>
      <c r="E30" s="163"/>
      <c r="F30" s="162"/>
      <c r="G30" s="162"/>
      <c r="H30" s="164"/>
      <c r="I30" s="162"/>
      <c r="J30" s="162"/>
      <c r="K30" s="165"/>
      <c r="L30" s="166"/>
      <c r="M30" s="165"/>
      <c r="N30" s="167"/>
    </row>
    <row r="31">
      <c r="A31" s="80"/>
      <c r="B31" s="74" t="s">
        <v>216</v>
      </c>
      <c r="C31" s="74" t="s">
        <v>575</v>
      </c>
      <c r="D31" s="74" t="s">
        <v>577</v>
      </c>
      <c r="E31" s="100">
        <v>46024.0</v>
      </c>
      <c r="F31" s="74" t="s">
        <v>367</v>
      </c>
      <c r="G31" s="76" t="s">
        <v>202</v>
      </c>
      <c r="H31" s="77" t="s">
        <v>14</v>
      </c>
      <c r="I31" s="74" t="s">
        <v>345</v>
      </c>
      <c r="J31" s="109" t="s">
        <v>36</v>
      </c>
      <c r="K31" s="169"/>
      <c r="L31" s="170"/>
      <c r="M31" s="169"/>
      <c r="N31" s="170"/>
    </row>
    <row r="32">
      <c r="A32" s="80"/>
      <c r="B32" s="74" t="s">
        <v>216</v>
      </c>
      <c r="C32" s="74" t="s">
        <v>575</v>
      </c>
      <c r="D32" s="74" t="s">
        <v>582</v>
      </c>
      <c r="E32" s="100">
        <v>46024.0</v>
      </c>
      <c r="F32" s="74" t="s">
        <v>367</v>
      </c>
      <c r="G32" s="76" t="s">
        <v>202</v>
      </c>
      <c r="H32" s="77" t="s">
        <v>14</v>
      </c>
      <c r="I32" s="74" t="s">
        <v>345</v>
      </c>
      <c r="J32" s="109" t="s">
        <v>36</v>
      </c>
      <c r="K32" s="171"/>
      <c r="L32" s="172"/>
      <c r="M32" s="171"/>
      <c r="N32" s="172"/>
    </row>
    <row r="33">
      <c r="A33" s="80"/>
      <c r="B33" s="74" t="s">
        <v>216</v>
      </c>
      <c r="C33" s="74" t="s">
        <v>575</v>
      </c>
      <c r="D33" s="74" t="s">
        <v>590</v>
      </c>
      <c r="E33" s="100">
        <v>46024.0</v>
      </c>
      <c r="F33" s="74" t="s">
        <v>367</v>
      </c>
      <c r="G33" s="76" t="s">
        <v>202</v>
      </c>
      <c r="H33" s="77" t="s">
        <v>14</v>
      </c>
      <c r="I33" s="74" t="s">
        <v>345</v>
      </c>
      <c r="J33" s="109" t="s">
        <v>36</v>
      </c>
      <c r="K33" s="169"/>
      <c r="L33" s="170"/>
      <c r="M33" s="169"/>
      <c r="N33" s="170"/>
    </row>
    <row r="34" ht="15.75" customHeight="1">
      <c r="A34" s="80"/>
      <c r="B34" s="74" t="s">
        <v>216</v>
      </c>
      <c r="C34" s="74" t="s">
        <v>575</v>
      </c>
      <c r="D34" s="74" t="s">
        <v>591</v>
      </c>
      <c r="E34" s="100">
        <v>46024.0</v>
      </c>
      <c r="F34" s="74" t="s">
        <v>367</v>
      </c>
      <c r="G34" s="76" t="s">
        <v>202</v>
      </c>
      <c r="H34" s="77" t="s">
        <v>14</v>
      </c>
      <c r="I34" s="74" t="s">
        <v>345</v>
      </c>
      <c r="J34" s="109" t="s">
        <v>36</v>
      </c>
      <c r="K34" s="171"/>
      <c r="L34" s="172"/>
      <c r="M34" s="171"/>
      <c r="N34" s="172"/>
    </row>
    <row r="35" ht="15.75" customHeight="1">
      <c r="A35" s="73"/>
      <c r="B35" s="74" t="s">
        <v>216</v>
      </c>
      <c r="C35" s="74" t="s">
        <v>575</v>
      </c>
      <c r="D35" s="74" t="s">
        <v>577</v>
      </c>
      <c r="E35" s="75">
        <v>46116.0</v>
      </c>
      <c r="F35" s="74" t="s">
        <v>222</v>
      </c>
      <c r="G35" s="76" t="s">
        <v>225</v>
      </c>
      <c r="H35" s="77" t="s">
        <v>14</v>
      </c>
      <c r="I35" s="74" t="s">
        <v>232</v>
      </c>
      <c r="J35" s="109" t="s">
        <v>36</v>
      </c>
      <c r="K35" s="169"/>
      <c r="L35" s="170"/>
      <c r="M35" s="169"/>
      <c r="N35" s="170"/>
    </row>
    <row r="36" ht="15.75" customHeight="1">
      <c r="A36" s="80"/>
      <c r="B36" s="74" t="s">
        <v>216</v>
      </c>
      <c r="C36" s="74" t="s">
        <v>575</v>
      </c>
      <c r="D36" s="74" t="s">
        <v>582</v>
      </c>
      <c r="E36" s="75">
        <v>46116.0</v>
      </c>
      <c r="F36" s="74" t="s">
        <v>222</v>
      </c>
      <c r="G36" s="76" t="s">
        <v>225</v>
      </c>
      <c r="H36" s="77" t="s">
        <v>14</v>
      </c>
      <c r="I36" s="74" t="s">
        <v>232</v>
      </c>
      <c r="J36" s="109" t="s">
        <v>36</v>
      </c>
      <c r="K36" s="171"/>
      <c r="L36" s="172"/>
      <c r="M36" s="171"/>
      <c r="N36" s="172"/>
    </row>
    <row r="37" ht="15.75" customHeight="1">
      <c r="A37" s="80"/>
      <c r="B37" s="74" t="s">
        <v>257</v>
      </c>
      <c r="C37" s="74" t="s">
        <v>575</v>
      </c>
      <c r="D37" s="74" t="s">
        <v>590</v>
      </c>
      <c r="E37" s="75">
        <v>46116.0</v>
      </c>
      <c r="F37" s="74" t="s">
        <v>222</v>
      </c>
      <c r="G37" s="76" t="s">
        <v>225</v>
      </c>
      <c r="H37" s="77" t="s">
        <v>14</v>
      </c>
      <c r="I37" s="74" t="s">
        <v>232</v>
      </c>
      <c r="J37" s="109" t="s">
        <v>36</v>
      </c>
      <c r="K37" s="169"/>
      <c r="L37" s="170"/>
      <c r="M37" s="169"/>
      <c r="N37" s="170"/>
    </row>
    <row r="38" ht="15.75" customHeight="1">
      <c r="A38" s="80"/>
      <c r="B38" s="74" t="s">
        <v>257</v>
      </c>
      <c r="C38" s="74" t="s">
        <v>575</v>
      </c>
      <c r="D38" s="74" t="s">
        <v>591</v>
      </c>
      <c r="E38" s="75">
        <v>46116.0</v>
      </c>
      <c r="F38" s="74" t="s">
        <v>222</v>
      </c>
      <c r="G38" s="76" t="s">
        <v>225</v>
      </c>
      <c r="H38" s="77" t="s">
        <v>14</v>
      </c>
      <c r="I38" s="74" t="s">
        <v>232</v>
      </c>
      <c r="J38" s="109" t="s">
        <v>36</v>
      </c>
      <c r="K38" s="171"/>
      <c r="L38" s="172"/>
      <c r="M38" s="171"/>
      <c r="N38" s="172"/>
    </row>
    <row r="39" ht="15.75" customHeight="1">
      <c r="A39" s="96"/>
      <c r="B39" s="74" t="s">
        <v>257</v>
      </c>
      <c r="C39" s="74" t="s">
        <v>575</v>
      </c>
      <c r="D39" s="74" t="s">
        <v>633</v>
      </c>
      <c r="E39" s="100">
        <v>46207.0</v>
      </c>
      <c r="F39" s="74" t="s">
        <v>322</v>
      </c>
      <c r="G39" s="76" t="s">
        <v>323</v>
      </c>
      <c r="H39" s="77" t="s">
        <v>24</v>
      </c>
      <c r="I39" s="74" t="s">
        <v>232</v>
      </c>
      <c r="J39" s="109" t="s">
        <v>36</v>
      </c>
      <c r="K39" s="169"/>
      <c r="L39" s="170"/>
      <c r="M39" s="169"/>
      <c r="N39" s="170"/>
    </row>
    <row r="40" ht="15.75" customHeight="1">
      <c r="A40" s="96"/>
      <c r="B40" s="74" t="s">
        <v>216</v>
      </c>
      <c r="C40" s="74" t="s">
        <v>575</v>
      </c>
      <c r="D40" s="74" t="s">
        <v>633</v>
      </c>
      <c r="E40" s="75">
        <v>46239.0</v>
      </c>
      <c r="F40" s="74" t="s">
        <v>344</v>
      </c>
      <c r="G40" s="74" t="s">
        <v>323</v>
      </c>
      <c r="H40" s="96" t="s">
        <v>24</v>
      </c>
      <c r="I40" s="74" t="s">
        <v>345</v>
      </c>
      <c r="J40" s="109" t="s">
        <v>36</v>
      </c>
      <c r="K40" s="171"/>
      <c r="L40" s="172"/>
      <c r="M40" s="171"/>
      <c r="N40" s="172"/>
    </row>
    <row r="41" ht="15.75" customHeight="1">
      <c r="A41" s="93"/>
      <c r="B41" s="93"/>
      <c r="C41" s="178"/>
      <c r="D41" s="74"/>
      <c r="E41" s="75"/>
      <c r="F41" s="74"/>
      <c r="G41" s="76"/>
      <c r="H41" s="77"/>
      <c r="I41" s="74"/>
      <c r="J41" s="171"/>
      <c r="K41" s="171"/>
      <c r="L41" s="172"/>
      <c r="M41" s="171"/>
      <c r="N41" s="172"/>
    </row>
    <row r="42" ht="15.75" customHeight="1">
      <c r="A42" s="93"/>
      <c r="B42" s="93"/>
      <c r="C42" s="178"/>
      <c r="D42" s="74"/>
      <c r="E42" s="75"/>
      <c r="F42" s="74"/>
      <c r="G42" s="76"/>
      <c r="H42" s="77"/>
      <c r="I42" s="74"/>
      <c r="J42" s="169"/>
      <c r="K42" s="169"/>
      <c r="L42" s="170"/>
      <c r="M42" s="169"/>
      <c r="N42" s="170"/>
    </row>
    <row r="43" ht="15.75" customHeight="1">
      <c r="A43" s="93"/>
      <c r="B43" s="93"/>
      <c r="C43" s="178"/>
      <c r="D43" s="74"/>
      <c r="E43" s="100"/>
      <c r="F43" s="76"/>
      <c r="G43" s="74"/>
      <c r="H43" s="77"/>
      <c r="I43" s="74"/>
      <c r="J43" s="171"/>
      <c r="K43" s="171"/>
      <c r="L43" s="172"/>
      <c r="M43" s="171"/>
      <c r="N43" s="172"/>
    </row>
    <row r="44" ht="15.75" customHeight="1">
      <c r="A44" s="93"/>
      <c r="B44" s="93"/>
      <c r="C44" s="178"/>
      <c r="D44" s="74"/>
      <c r="E44" s="100"/>
      <c r="F44" s="74"/>
      <c r="G44" s="74"/>
      <c r="H44" s="77"/>
      <c r="I44" s="74"/>
      <c r="J44" s="169"/>
      <c r="K44" s="169"/>
      <c r="L44" s="170"/>
      <c r="M44" s="169"/>
      <c r="N44" s="170"/>
    </row>
    <row r="45" ht="15.75" customHeight="1">
      <c r="A45" s="93"/>
      <c r="B45" s="93"/>
      <c r="C45" s="178"/>
      <c r="D45" s="74"/>
      <c r="E45" s="100"/>
      <c r="F45" s="76"/>
      <c r="G45" s="74"/>
      <c r="H45" s="77"/>
      <c r="I45" s="74"/>
      <c r="J45" s="171"/>
      <c r="K45" s="171"/>
      <c r="L45" s="172"/>
      <c r="M45" s="171"/>
      <c r="N45" s="172"/>
    </row>
    <row r="46" ht="15.75" customHeight="1">
      <c r="A46" s="93"/>
      <c r="B46" s="93"/>
      <c r="C46" s="178"/>
      <c r="D46" s="74"/>
      <c r="E46" s="75"/>
      <c r="F46" s="74"/>
      <c r="G46" s="74"/>
      <c r="H46" s="77"/>
      <c r="I46" s="74"/>
      <c r="J46" s="169"/>
      <c r="K46" s="169"/>
      <c r="L46" s="170"/>
      <c r="M46" s="169"/>
      <c r="N46" s="170"/>
    </row>
    <row r="47" ht="15.75" customHeight="1">
      <c r="A47" s="93"/>
      <c r="B47" s="93"/>
      <c r="C47" s="178"/>
      <c r="D47" s="74"/>
      <c r="E47" s="157"/>
      <c r="F47" s="74"/>
      <c r="G47" s="158"/>
      <c r="H47" s="77"/>
      <c r="I47" s="74"/>
      <c r="J47" s="171"/>
      <c r="K47" s="171"/>
      <c r="L47" s="172"/>
      <c r="M47" s="171"/>
      <c r="N47" s="172"/>
    </row>
    <row r="48" ht="15.75" customHeight="1">
      <c r="A48" s="170"/>
      <c r="B48" s="170"/>
      <c r="C48" s="170"/>
      <c r="D48" s="170"/>
      <c r="E48" s="170"/>
      <c r="F48" s="170"/>
      <c r="G48" s="170"/>
      <c r="H48" s="187"/>
      <c r="I48" s="170"/>
      <c r="J48" s="169"/>
      <c r="K48" s="169"/>
      <c r="L48" s="170"/>
      <c r="M48" s="169"/>
      <c r="N48" s="170"/>
    </row>
    <row r="49" ht="15.75" customHeight="1">
      <c r="A49" s="172"/>
      <c r="B49" s="172"/>
      <c r="C49" s="172"/>
      <c r="D49" s="172"/>
      <c r="E49" s="172"/>
      <c r="F49" s="172"/>
      <c r="G49" s="172"/>
      <c r="H49" s="188"/>
      <c r="I49" s="172"/>
      <c r="J49" s="171"/>
      <c r="K49" s="171"/>
      <c r="L49" s="172"/>
      <c r="M49" s="171"/>
      <c r="N49" s="172"/>
    </row>
    <row r="50" ht="15.75" customHeight="1">
      <c r="A50" s="170"/>
      <c r="B50" s="170"/>
      <c r="C50" s="170"/>
      <c r="D50" s="170"/>
      <c r="E50" s="170"/>
      <c r="F50" s="170" t="str">
        <f t="array" ref="F50">IFERROR(XLOOKUP(E50,'Indicadores Master'!$D$2:$D$65,'Indicadores Master'!$E$2:$E$65,""),"")</f>
        <v/>
      </c>
      <c r="G50" s="170" t="str">
        <f t="array" ref="G50">IFERROR(XLOOKUP(E50,'Indicadores Master'!$D$2:$D$65,'Indicadores Master'!$A$2:$A$65,""),"")</f>
        <v/>
      </c>
      <c r="H50" s="187"/>
      <c r="I50" s="170"/>
      <c r="J50" s="169"/>
      <c r="K50" s="169"/>
      <c r="L50" s="170"/>
      <c r="M50" s="169"/>
      <c r="N50" s="170"/>
    </row>
    <row r="51" ht="15.75" customHeight="1">
      <c r="A51" s="172"/>
      <c r="B51" s="172"/>
      <c r="C51" s="172"/>
      <c r="D51" s="172"/>
      <c r="E51" s="172"/>
      <c r="F51" s="172" t="str">
        <f t="array" ref="F51">IFERROR(XLOOKUP(E51,'Indicadores Master'!$D$2:$D$65,'Indicadores Master'!$E$2:$E$65,""),"")</f>
        <v/>
      </c>
      <c r="G51" s="172" t="str">
        <f t="array" ref="G51">IFERROR(XLOOKUP(E51,'Indicadores Master'!$D$2:$D$65,'Indicadores Master'!$A$2:$A$65,""),"")</f>
        <v/>
      </c>
      <c r="H51" s="188"/>
      <c r="I51" s="172"/>
      <c r="J51" s="171"/>
      <c r="K51" s="171"/>
      <c r="L51" s="172"/>
      <c r="M51" s="171"/>
      <c r="N51" s="172"/>
    </row>
    <row r="52" ht="15.75" customHeight="1">
      <c r="A52" s="170"/>
      <c r="B52" s="170"/>
      <c r="C52" s="170"/>
      <c r="D52" s="170"/>
      <c r="E52" s="170"/>
      <c r="F52" s="170" t="str">
        <f t="array" ref="F52">IFERROR(XLOOKUP(E52,'Indicadores Master'!$D$2:$D$65,'Indicadores Master'!$E$2:$E$65,""),"")</f>
        <v/>
      </c>
      <c r="G52" s="170" t="str">
        <f t="array" ref="G52">IFERROR(XLOOKUP(E52,'Indicadores Master'!$D$2:$D$65,'Indicadores Master'!$A$2:$A$65,""),"")</f>
        <v/>
      </c>
      <c r="H52" s="187" t="str">
        <f t="array" ref="H52">IFERROR(XLOOKUP(E52,'Indicadores Master'!$D$2:$D$65,'Indicadores Master'!$K$2:$K$65,""),"")</f>
        <v/>
      </c>
      <c r="I52" s="170" t="str">
        <f t="array" ref="I52">IFERROR(XLOOKUP(E52,'Indicadores Master'!$D$2:$D$65,'Indicadores Master'!$J$2:$J$65,""),"")</f>
        <v/>
      </c>
      <c r="J52" s="169"/>
      <c r="K52" s="169"/>
      <c r="L52" s="170"/>
      <c r="M52" s="169"/>
      <c r="N52" s="170"/>
    </row>
    <row r="53" ht="15.75" customHeight="1">
      <c r="A53" s="172"/>
      <c r="B53" s="172"/>
      <c r="C53" s="172"/>
      <c r="D53" s="172"/>
      <c r="E53" s="172"/>
      <c r="F53" s="172" t="str">
        <f t="array" ref="F53">IFERROR(XLOOKUP(E53,'Indicadores Master'!$D$2:$D$65,'Indicadores Master'!$E$2:$E$65,""),"")</f>
        <v/>
      </c>
      <c r="G53" s="172" t="str">
        <f t="array" ref="G53">IFERROR(XLOOKUP(E53,'Indicadores Master'!$D$2:$D$65,'Indicadores Master'!$A$2:$A$65,""),"")</f>
        <v/>
      </c>
      <c r="H53" s="188" t="str">
        <f t="array" ref="H53">IFERROR(XLOOKUP(E53,'Indicadores Master'!$D$2:$D$65,'Indicadores Master'!$K$2:$K$65,""),"")</f>
        <v/>
      </c>
      <c r="I53" s="172" t="str">
        <f t="array" ref="I53">IFERROR(XLOOKUP(E53,'Indicadores Master'!$D$2:$D$65,'Indicadores Master'!$J$2:$J$65,""),"")</f>
        <v/>
      </c>
      <c r="J53" s="171"/>
      <c r="K53" s="171"/>
      <c r="L53" s="172"/>
      <c r="M53" s="171"/>
      <c r="N53" s="172"/>
    </row>
    <row r="54" ht="15.75" customHeight="1">
      <c r="A54" s="170"/>
      <c r="B54" s="170"/>
      <c r="C54" s="170"/>
      <c r="D54" s="170"/>
      <c r="E54" s="170"/>
      <c r="F54" s="170" t="str">
        <f t="array" ref="F54">IFERROR(XLOOKUP(E54,'Indicadores Master'!$D$2:$D$65,'Indicadores Master'!$E$2:$E$65,""),"")</f>
        <v/>
      </c>
      <c r="G54" s="170" t="str">
        <f t="array" ref="G54">IFERROR(XLOOKUP(E54,'Indicadores Master'!$D$2:$D$65,'Indicadores Master'!$A$2:$A$65,""),"")</f>
        <v/>
      </c>
      <c r="H54" s="187" t="str">
        <f t="array" ref="H54">IFERROR(XLOOKUP(E54,'Indicadores Master'!$D$2:$D$65,'Indicadores Master'!$K$2:$K$65,""),"")</f>
        <v/>
      </c>
      <c r="I54" s="170" t="str">
        <f t="array" ref="I54">IFERROR(XLOOKUP(E54,'Indicadores Master'!$D$2:$D$65,'Indicadores Master'!$J$2:$J$65,""),"")</f>
        <v/>
      </c>
      <c r="J54" s="169"/>
      <c r="K54" s="169"/>
      <c r="L54" s="170"/>
      <c r="M54" s="169"/>
      <c r="N54" s="170"/>
    </row>
    <row r="55" ht="15.75" customHeight="1">
      <c r="A55" s="172"/>
      <c r="B55" s="172"/>
      <c r="C55" s="172"/>
      <c r="D55" s="172"/>
      <c r="E55" s="172"/>
      <c r="F55" s="172" t="str">
        <f t="array" ref="F55">IFERROR(XLOOKUP(E55,'Indicadores Master'!$D$2:$D$65,'Indicadores Master'!$E$2:$E$65,""),"")</f>
        <v/>
      </c>
      <c r="G55" s="172" t="str">
        <f t="array" ref="G55">IFERROR(XLOOKUP(E55,'Indicadores Master'!$D$2:$D$65,'Indicadores Master'!$A$2:$A$65,""),"")</f>
        <v/>
      </c>
      <c r="H55" s="188" t="str">
        <f t="array" ref="H55">IFERROR(XLOOKUP(E55,'Indicadores Master'!$D$2:$D$65,'Indicadores Master'!$K$2:$K$65,""),"")</f>
        <v/>
      </c>
      <c r="I55" s="172" t="str">
        <f t="array" ref="I55">IFERROR(XLOOKUP(E55,'Indicadores Master'!$D$2:$D$65,'Indicadores Master'!$J$2:$J$65,""),"")</f>
        <v/>
      </c>
      <c r="J55" s="171"/>
      <c r="K55" s="171"/>
      <c r="L55" s="172"/>
      <c r="M55" s="171"/>
      <c r="N55" s="172"/>
    </row>
    <row r="56" ht="15.75" customHeight="1">
      <c r="A56" s="170"/>
      <c r="B56" s="170"/>
      <c r="C56" s="170"/>
      <c r="D56" s="170"/>
      <c r="E56" s="170"/>
      <c r="F56" s="170" t="str">
        <f t="array" ref="F56">IFERROR(XLOOKUP(E56,'Indicadores Master'!$D$2:$D$65,'Indicadores Master'!$E$2:$E$65,""),"")</f>
        <v/>
      </c>
      <c r="G56" s="170" t="str">
        <f t="array" ref="G56">IFERROR(XLOOKUP(E56,'Indicadores Master'!$D$2:$D$65,'Indicadores Master'!$A$2:$A$65,""),"")</f>
        <v/>
      </c>
      <c r="H56" s="187" t="str">
        <f t="array" ref="H56">IFERROR(XLOOKUP(E56,'Indicadores Master'!$D$2:$D$65,'Indicadores Master'!$K$2:$K$65,""),"")</f>
        <v/>
      </c>
      <c r="I56" s="170" t="str">
        <f t="array" ref="I56">IFERROR(XLOOKUP(E56,'Indicadores Master'!$D$2:$D$65,'Indicadores Master'!$J$2:$J$65,""),"")</f>
        <v/>
      </c>
      <c r="J56" s="169"/>
      <c r="K56" s="169"/>
      <c r="L56" s="170"/>
      <c r="M56" s="169"/>
      <c r="N56" s="170"/>
    </row>
    <row r="57" ht="15.75" customHeight="1">
      <c r="A57" s="172"/>
      <c r="B57" s="172"/>
      <c r="C57" s="172"/>
      <c r="D57" s="172"/>
      <c r="E57" s="172"/>
      <c r="F57" s="172" t="str">
        <f t="array" ref="F57">IFERROR(XLOOKUP(E57,'Indicadores Master'!$D$2:$D$65,'Indicadores Master'!$E$2:$E$65,""),"")</f>
        <v/>
      </c>
      <c r="G57" s="172" t="str">
        <f t="array" ref="G57">IFERROR(XLOOKUP(E57,'Indicadores Master'!$D$2:$D$65,'Indicadores Master'!$A$2:$A$65,""),"")</f>
        <v/>
      </c>
      <c r="H57" s="188" t="str">
        <f t="array" ref="H57">IFERROR(XLOOKUP(E57,'Indicadores Master'!$D$2:$D$65,'Indicadores Master'!$K$2:$K$65,""),"")</f>
        <v/>
      </c>
      <c r="I57" s="172" t="str">
        <f t="array" ref="I57">IFERROR(XLOOKUP(E57,'Indicadores Master'!$D$2:$D$65,'Indicadores Master'!$J$2:$J$65,""),"")</f>
        <v/>
      </c>
      <c r="J57" s="171"/>
      <c r="K57" s="171"/>
      <c r="L57" s="172"/>
      <c r="M57" s="171"/>
      <c r="N57" s="172"/>
    </row>
    <row r="58" ht="15.75" customHeight="1">
      <c r="A58" s="170"/>
      <c r="B58" s="170"/>
      <c r="C58" s="170"/>
      <c r="D58" s="170"/>
      <c r="E58" s="170"/>
      <c r="F58" s="170" t="str">
        <f t="array" ref="F58">IFERROR(XLOOKUP(E58,'Indicadores Master'!$D$2:$D$65,'Indicadores Master'!$E$2:$E$65,""),"")</f>
        <v/>
      </c>
      <c r="G58" s="170" t="str">
        <f t="array" ref="G58">IFERROR(XLOOKUP(E58,'Indicadores Master'!$D$2:$D$65,'Indicadores Master'!$A$2:$A$65,""),"")</f>
        <v/>
      </c>
      <c r="H58" s="187" t="str">
        <f t="array" ref="H58">IFERROR(XLOOKUP(E58,'Indicadores Master'!$D$2:$D$65,'Indicadores Master'!$K$2:$K$65,""),"")</f>
        <v/>
      </c>
      <c r="I58" s="170" t="str">
        <f t="array" ref="I58">IFERROR(XLOOKUP(E58,'Indicadores Master'!$D$2:$D$65,'Indicadores Master'!$J$2:$J$65,""),"")</f>
        <v/>
      </c>
      <c r="J58" s="169"/>
      <c r="K58" s="169"/>
      <c r="L58" s="170"/>
      <c r="M58" s="169"/>
      <c r="N58" s="170"/>
    </row>
    <row r="59" ht="15.75" customHeight="1">
      <c r="A59" s="172"/>
      <c r="B59" s="172"/>
      <c r="C59" s="172"/>
      <c r="D59" s="172"/>
      <c r="E59" s="172"/>
      <c r="F59" s="172" t="str">
        <f t="array" ref="F59">IFERROR(XLOOKUP(E59,'Indicadores Master'!$D$2:$D$65,'Indicadores Master'!$E$2:$E$65,""),"")</f>
        <v/>
      </c>
      <c r="G59" s="172" t="str">
        <f t="array" ref="G59">IFERROR(XLOOKUP(E59,'Indicadores Master'!$D$2:$D$65,'Indicadores Master'!$A$2:$A$65,""),"")</f>
        <v/>
      </c>
      <c r="H59" s="188" t="str">
        <f t="array" ref="H59">IFERROR(XLOOKUP(E59,'Indicadores Master'!$D$2:$D$65,'Indicadores Master'!$K$2:$K$65,""),"")</f>
        <v/>
      </c>
      <c r="I59" s="172" t="str">
        <f t="array" ref="I59">IFERROR(XLOOKUP(E59,'Indicadores Master'!$D$2:$D$65,'Indicadores Master'!$J$2:$J$65,""),"")</f>
        <v/>
      </c>
      <c r="J59" s="171"/>
      <c r="K59" s="171"/>
      <c r="L59" s="172"/>
      <c r="M59" s="171"/>
      <c r="N59" s="172"/>
    </row>
    <row r="60" ht="15.75" customHeight="1">
      <c r="A60" s="170"/>
      <c r="B60" s="170"/>
      <c r="C60" s="170"/>
      <c r="D60" s="170"/>
      <c r="E60" s="170"/>
      <c r="F60" s="170" t="str">
        <f t="array" ref="F60">IFERROR(XLOOKUP(E60,'Indicadores Master'!$D$2:$D$65,'Indicadores Master'!$E$2:$E$65,""),"")</f>
        <v/>
      </c>
      <c r="G60" s="170" t="str">
        <f t="array" ref="G60">IFERROR(XLOOKUP(E60,'Indicadores Master'!$D$2:$D$65,'Indicadores Master'!$A$2:$A$65,""),"")</f>
        <v/>
      </c>
      <c r="H60" s="187" t="str">
        <f t="array" ref="H60">IFERROR(XLOOKUP(E60,'Indicadores Master'!$D$2:$D$65,'Indicadores Master'!$K$2:$K$65,""),"")</f>
        <v/>
      </c>
      <c r="I60" s="170" t="str">
        <f t="array" ref="I60">IFERROR(XLOOKUP(E60,'Indicadores Master'!$D$2:$D$65,'Indicadores Master'!$J$2:$J$65,""),"")</f>
        <v/>
      </c>
      <c r="J60" s="169"/>
      <c r="K60" s="169"/>
      <c r="L60" s="170"/>
      <c r="M60" s="169"/>
      <c r="N60" s="170"/>
    </row>
    <row r="61" ht="15.75" customHeight="1">
      <c r="A61" s="172"/>
      <c r="B61" s="172"/>
      <c r="C61" s="172"/>
      <c r="D61" s="172"/>
      <c r="E61" s="172"/>
      <c r="F61" s="172" t="str">
        <f t="array" ref="F61">IFERROR(XLOOKUP(E61,'Indicadores Master'!$D$2:$D$65,'Indicadores Master'!$E$2:$E$65,""),"")</f>
        <v/>
      </c>
      <c r="G61" s="172" t="str">
        <f t="array" ref="G61">IFERROR(XLOOKUP(E61,'Indicadores Master'!$D$2:$D$65,'Indicadores Master'!$A$2:$A$65,""),"")</f>
        <v/>
      </c>
      <c r="H61" s="188" t="str">
        <f t="array" ref="H61">IFERROR(XLOOKUP(E61,'Indicadores Master'!$D$2:$D$65,'Indicadores Master'!$K$2:$K$65,""),"")</f>
        <v/>
      </c>
      <c r="I61" s="172" t="str">
        <f t="array" ref="I61">IFERROR(XLOOKUP(E61,'Indicadores Master'!$D$2:$D$65,'Indicadores Master'!$J$2:$J$65,""),"")</f>
        <v/>
      </c>
      <c r="J61" s="171"/>
      <c r="K61" s="171"/>
      <c r="L61" s="172"/>
      <c r="M61" s="171"/>
      <c r="N61" s="172"/>
    </row>
    <row r="62" ht="15.75" customHeight="1">
      <c r="A62" s="170"/>
      <c r="B62" s="170"/>
      <c r="C62" s="170"/>
      <c r="D62" s="170"/>
      <c r="E62" s="170"/>
      <c r="F62" s="170" t="str">
        <f t="array" ref="F62">IFERROR(XLOOKUP(E62,'Indicadores Master'!$D$2:$D$65,'Indicadores Master'!$E$2:$E$65,""),"")</f>
        <v/>
      </c>
      <c r="G62" s="170" t="str">
        <f t="array" ref="G62">IFERROR(XLOOKUP(E62,'Indicadores Master'!$D$2:$D$65,'Indicadores Master'!$A$2:$A$65,""),"")</f>
        <v/>
      </c>
      <c r="H62" s="187" t="str">
        <f t="array" ref="H62">IFERROR(XLOOKUP(E62,'Indicadores Master'!$D$2:$D$65,'Indicadores Master'!$K$2:$K$65,""),"")</f>
        <v/>
      </c>
      <c r="I62" s="170" t="str">
        <f t="array" ref="I62">IFERROR(XLOOKUP(E62,'Indicadores Master'!$D$2:$D$65,'Indicadores Master'!$J$2:$J$65,""),"")</f>
        <v/>
      </c>
      <c r="J62" s="169"/>
      <c r="K62" s="169"/>
      <c r="L62" s="170"/>
      <c r="M62" s="169"/>
      <c r="N62" s="170"/>
    </row>
    <row r="63" ht="15.75" customHeight="1">
      <c r="A63" s="172"/>
      <c r="B63" s="172"/>
      <c r="C63" s="172"/>
      <c r="D63" s="172"/>
      <c r="E63" s="172"/>
      <c r="F63" s="172" t="str">
        <f t="array" ref="F63">IFERROR(XLOOKUP(E63,'Indicadores Master'!$D$2:$D$65,'Indicadores Master'!$E$2:$E$65,""),"")</f>
        <v/>
      </c>
      <c r="G63" s="172" t="str">
        <f t="array" ref="G63">IFERROR(XLOOKUP(E63,'Indicadores Master'!$D$2:$D$65,'Indicadores Master'!$A$2:$A$65,""),"")</f>
        <v/>
      </c>
      <c r="H63" s="188" t="str">
        <f t="array" ref="H63">IFERROR(XLOOKUP(E63,'Indicadores Master'!$D$2:$D$65,'Indicadores Master'!$K$2:$K$65,""),"")</f>
        <v/>
      </c>
      <c r="I63" s="172" t="str">
        <f t="array" ref="I63">IFERROR(XLOOKUP(E63,'Indicadores Master'!$D$2:$D$65,'Indicadores Master'!$J$2:$J$65,""),"")</f>
        <v/>
      </c>
      <c r="J63" s="171"/>
      <c r="K63" s="171"/>
      <c r="L63" s="172"/>
      <c r="M63" s="171"/>
      <c r="N63" s="172"/>
    </row>
    <row r="64" ht="15.75" customHeight="1">
      <c r="A64" s="170"/>
      <c r="B64" s="170"/>
      <c r="C64" s="170"/>
      <c r="D64" s="170"/>
      <c r="E64" s="170"/>
      <c r="F64" s="170" t="str">
        <f t="array" ref="F64">IFERROR(XLOOKUP(E64,'Indicadores Master'!$D$2:$D$65,'Indicadores Master'!$E$2:$E$65,""),"")</f>
        <v/>
      </c>
      <c r="G64" s="170" t="str">
        <f t="array" ref="G64">IFERROR(XLOOKUP(E64,'Indicadores Master'!$D$2:$D$65,'Indicadores Master'!$A$2:$A$65,""),"")</f>
        <v/>
      </c>
      <c r="H64" s="187" t="str">
        <f t="array" ref="H64">IFERROR(XLOOKUP(E64,'Indicadores Master'!$D$2:$D$65,'Indicadores Master'!$K$2:$K$65,""),"")</f>
        <v/>
      </c>
      <c r="I64" s="170" t="str">
        <f t="array" ref="I64">IFERROR(XLOOKUP(E64,'Indicadores Master'!$D$2:$D$65,'Indicadores Master'!$J$2:$J$65,""),"")</f>
        <v/>
      </c>
      <c r="J64" s="169"/>
      <c r="K64" s="169"/>
      <c r="L64" s="170"/>
      <c r="M64" s="169"/>
      <c r="N64" s="170"/>
    </row>
    <row r="65" ht="15.75" customHeight="1">
      <c r="A65" s="172"/>
      <c r="B65" s="172"/>
      <c r="C65" s="172"/>
      <c r="D65" s="172"/>
      <c r="E65" s="172"/>
      <c r="F65" s="172" t="str">
        <f t="array" ref="F65">IFERROR(XLOOKUP(E65,'Indicadores Master'!$D$2:$D$65,'Indicadores Master'!$E$2:$E$65,""),"")</f>
        <v/>
      </c>
      <c r="G65" s="172" t="str">
        <f t="array" ref="G65">IFERROR(XLOOKUP(E65,'Indicadores Master'!$D$2:$D$65,'Indicadores Master'!$A$2:$A$65,""),"")</f>
        <v/>
      </c>
      <c r="H65" s="188" t="str">
        <f t="array" ref="H65">IFERROR(XLOOKUP(E65,'Indicadores Master'!$D$2:$D$65,'Indicadores Master'!$K$2:$K$65,""),"")</f>
        <v/>
      </c>
      <c r="I65" s="172" t="str">
        <f t="array" ref="I65">IFERROR(XLOOKUP(E65,'Indicadores Master'!$D$2:$D$65,'Indicadores Master'!$J$2:$J$65,""),"")</f>
        <v/>
      </c>
      <c r="J65" s="171"/>
      <c r="K65" s="171"/>
      <c r="L65" s="172"/>
      <c r="M65" s="171"/>
      <c r="N65" s="172"/>
    </row>
    <row r="66" ht="15.75" customHeight="1">
      <c r="A66" s="170"/>
      <c r="B66" s="170"/>
      <c r="C66" s="170"/>
      <c r="D66" s="170"/>
      <c r="E66" s="170"/>
      <c r="F66" s="170" t="str">
        <f t="array" ref="F66">IFERROR(XLOOKUP(E66,'Indicadores Master'!$D$2:$D$65,'Indicadores Master'!$E$2:$E$65,""),"")</f>
        <v/>
      </c>
      <c r="G66" s="170" t="str">
        <f t="array" ref="G66">IFERROR(XLOOKUP(E66,'Indicadores Master'!$D$2:$D$65,'Indicadores Master'!$A$2:$A$65,""),"")</f>
        <v/>
      </c>
      <c r="H66" s="187" t="str">
        <f t="array" ref="H66">IFERROR(XLOOKUP(E66,'Indicadores Master'!$D$2:$D$65,'Indicadores Master'!$K$2:$K$65,""),"")</f>
        <v/>
      </c>
      <c r="I66" s="170" t="str">
        <f t="array" ref="I66">IFERROR(XLOOKUP(E66,'Indicadores Master'!$D$2:$D$65,'Indicadores Master'!$J$2:$J$65,""),"")</f>
        <v/>
      </c>
      <c r="J66" s="169"/>
      <c r="K66" s="169"/>
      <c r="L66" s="170"/>
      <c r="M66" s="169"/>
      <c r="N66" s="170"/>
    </row>
    <row r="67" ht="15.75" customHeight="1">
      <c r="A67" s="172"/>
      <c r="B67" s="172"/>
      <c r="C67" s="172"/>
      <c r="D67" s="172"/>
      <c r="E67" s="172"/>
      <c r="F67" s="172" t="str">
        <f t="array" ref="F67">IFERROR(XLOOKUP(E67,'Indicadores Master'!$D$2:$D$65,'Indicadores Master'!$E$2:$E$65,""),"")</f>
        <v/>
      </c>
      <c r="G67" s="172" t="str">
        <f t="array" ref="G67">IFERROR(XLOOKUP(E67,'Indicadores Master'!$D$2:$D$65,'Indicadores Master'!$A$2:$A$65,""),"")</f>
        <v/>
      </c>
      <c r="H67" s="188" t="str">
        <f t="array" ref="H67">IFERROR(XLOOKUP(E67,'Indicadores Master'!$D$2:$D$65,'Indicadores Master'!$K$2:$K$65,""),"")</f>
        <v/>
      </c>
      <c r="I67" s="172" t="str">
        <f t="array" ref="I67">IFERROR(XLOOKUP(E67,'Indicadores Master'!$D$2:$D$65,'Indicadores Master'!$J$2:$J$65,""),"")</f>
        <v/>
      </c>
      <c r="J67" s="171"/>
      <c r="K67" s="171"/>
      <c r="L67" s="172"/>
      <c r="M67" s="171"/>
      <c r="N67" s="172"/>
    </row>
    <row r="68" ht="15.75" customHeight="1">
      <c r="A68" s="170"/>
      <c r="B68" s="170"/>
      <c r="C68" s="170"/>
      <c r="D68" s="170"/>
      <c r="E68" s="170"/>
      <c r="F68" s="170" t="str">
        <f t="array" ref="F68">IFERROR(XLOOKUP(E68,'Indicadores Master'!$D$2:$D$65,'Indicadores Master'!$E$2:$E$65,""),"")</f>
        <v/>
      </c>
      <c r="G68" s="170" t="str">
        <f t="array" ref="G68">IFERROR(XLOOKUP(E68,'Indicadores Master'!$D$2:$D$65,'Indicadores Master'!$A$2:$A$65,""),"")</f>
        <v/>
      </c>
      <c r="H68" s="187" t="str">
        <f t="array" ref="H68">IFERROR(XLOOKUP(E68,'Indicadores Master'!$D$2:$D$65,'Indicadores Master'!$K$2:$K$65,""),"")</f>
        <v/>
      </c>
      <c r="I68" s="170" t="str">
        <f t="array" ref="I68">IFERROR(XLOOKUP(E68,'Indicadores Master'!$D$2:$D$65,'Indicadores Master'!$J$2:$J$65,""),"")</f>
        <v/>
      </c>
      <c r="J68" s="169"/>
      <c r="K68" s="169"/>
      <c r="L68" s="170"/>
      <c r="M68" s="169"/>
      <c r="N68" s="170"/>
    </row>
    <row r="69" ht="15.75" customHeight="1">
      <c r="A69" s="172"/>
      <c r="B69" s="172"/>
      <c r="C69" s="172"/>
      <c r="D69" s="172"/>
      <c r="E69" s="172"/>
      <c r="F69" s="172" t="str">
        <f t="array" ref="F69">IFERROR(XLOOKUP(E69,'Indicadores Master'!$D$2:$D$65,'Indicadores Master'!$E$2:$E$65,""),"")</f>
        <v/>
      </c>
      <c r="G69" s="172" t="str">
        <f t="array" ref="G69">IFERROR(XLOOKUP(E69,'Indicadores Master'!$D$2:$D$65,'Indicadores Master'!$A$2:$A$65,""),"")</f>
        <v/>
      </c>
      <c r="H69" s="188" t="str">
        <f t="array" ref="H69">IFERROR(XLOOKUP(E69,'Indicadores Master'!$D$2:$D$65,'Indicadores Master'!$K$2:$K$65,""),"")</f>
        <v/>
      </c>
      <c r="I69" s="172" t="str">
        <f t="array" ref="I69">IFERROR(XLOOKUP(E69,'Indicadores Master'!$D$2:$D$65,'Indicadores Master'!$J$2:$J$65,""),"")</f>
        <v/>
      </c>
      <c r="J69" s="171"/>
      <c r="K69" s="171"/>
      <c r="L69" s="172"/>
      <c r="M69" s="171"/>
      <c r="N69" s="172"/>
    </row>
    <row r="70" ht="15.75" customHeight="1">
      <c r="A70" s="170"/>
      <c r="B70" s="170"/>
      <c r="C70" s="170"/>
      <c r="D70" s="170"/>
      <c r="E70" s="170"/>
      <c r="F70" s="170" t="str">
        <f t="array" ref="F70">IFERROR(XLOOKUP(E70,'Indicadores Master'!$D$2:$D$65,'Indicadores Master'!$E$2:$E$65,""),"")</f>
        <v/>
      </c>
      <c r="G70" s="170" t="str">
        <f t="array" ref="G70">IFERROR(XLOOKUP(E70,'Indicadores Master'!$D$2:$D$65,'Indicadores Master'!$A$2:$A$65,""),"")</f>
        <v/>
      </c>
      <c r="H70" s="187" t="str">
        <f t="array" ref="H70">IFERROR(XLOOKUP(E70,'Indicadores Master'!$D$2:$D$65,'Indicadores Master'!$K$2:$K$65,""),"")</f>
        <v/>
      </c>
      <c r="I70" s="170" t="str">
        <f t="array" ref="I70">IFERROR(XLOOKUP(E70,'Indicadores Master'!$D$2:$D$65,'Indicadores Master'!$J$2:$J$65,""),"")</f>
        <v/>
      </c>
      <c r="J70" s="169"/>
      <c r="K70" s="169"/>
      <c r="L70" s="170"/>
      <c r="M70" s="169"/>
      <c r="N70" s="170"/>
    </row>
    <row r="71" ht="15.75" customHeight="1">
      <c r="A71" s="172"/>
      <c r="B71" s="172"/>
      <c r="C71" s="172"/>
      <c r="D71" s="172"/>
      <c r="E71" s="172"/>
      <c r="F71" s="172" t="str">
        <f t="array" ref="F71">IFERROR(XLOOKUP(E71,'Indicadores Master'!$D$2:$D$65,'Indicadores Master'!$E$2:$E$65,""),"")</f>
        <v/>
      </c>
      <c r="G71" s="172" t="str">
        <f t="array" ref="G71">IFERROR(XLOOKUP(E71,'Indicadores Master'!$D$2:$D$65,'Indicadores Master'!$A$2:$A$65,""),"")</f>
        <v/>
      </c>
      <c r="H71" s="188" t="str">
        <f t="array" ref="H71">IFERROR(XLOOKUP(E71,'Indicadores Master'!$D$2:$D$65,'Indicadores Master'!$K$2:$K$65,""),"")</f>
        <v/>
      </c>
      <c r="I71" s="172" t="str">
        <f t="array" ref="I71">IFERROR(XLOOKUP(E71,'Indicadores Master'!$D$2:$D$65,'Indicadores Master'!$J$2:$J$65,""),"")</f>
        <v/>
      </c>
      <c r="J71" s="171"/>
      <c r="K71" s="171"/>
      <c r="L71" s="172"/>
      <c r="M71" s="171"/>
      <c r="N71" s="172"/>
    </row>
    <row r="72" ht="15.75" customHeight="1">
      <c r="A72" s="170"/>
      <c r="B72" s="170"/>
      <c r="C72" s="170"/>
      <c r="D72" s="170"/>
      <c r="E72" s="170"/>
      <c r="F72" s="170" t="str">
        <f t="array" ref="F72">IFERROR(XLOOKUP(E72,'Indicadores Master'!$D$2:$D$65,'Indicadores Master'!$E$2:$E$65,""),"")</f>
        <v/>
      </c>
      <c r="G72" s="170" t="str">
        <f t="array" ref="G72">IFERROR(XLOOKUP(E72,'Indicadores Master'!$D$2:$D$65,'Indicadores Master'!$A$2:$A$65,""),"")</f>
        <v/>
      </c>
      <c r="H72" s="187" t="str">
        <f t="array" ref="H72">IFERROR(XLOOKUP(E72,'Indicadores Master'!$D$2:$D$65,'Indicadores Master'!$K$2:$K$65,""),"")</f>
        <v/>
      </c>
      <c r="I72" s="170" t="str">
        <f t="array" ref="I72">IFERROR(XLOOKUP(E72,'Indicadores Master'!$D$2:$D$65,'Indicadores Master'!$J$2:$J$65,""),"")</f>
        <v/>
      </c>
      <c r="J72" s="169"/>
      <c r="K72" s="169"/>
      <c r="L72" s="170"/>
      <c r="M72" s="169"/>
      <c r="N72" s="170"/>
    </row>
    <row r="73" ht="15.75" customHeight="1">
      <c r="A73" s="172"/>
      <c r="B73" s="172"/>
      <c r="C73" s="172"/>
      <c r="D73" s="172"/>
      <c r="E73" s="172"/>
      <c r="F73" s="172" t="str">
        <f t="array" ref="F73">IFERROR(XLOOKUP(E73,'Indicadores Master'!$D$2:$D$65,'Indicadores Master'!$E$2:$E$65,""),"")</f>
        <v/>
      </c>
      <c r="G73" s="172" t="str">
        <f t="array" ref="G73">IFERROR(XLOOKUP(E73,'Indicadores Master'!$D$2:$D$65,'Indicadores Master'!$A$2:$A$65,""),"")</f>
        <v/>
      </c>
      <c r="H73" s="188" t="str">
        <f t="array" ref="H73">IFERROR(XLOOKUP(E73,'Indicadores Master'!$D$2:$D$65,'Indicadores Master'!$K$2:$K$65,""),"")</f>
        <v/>
      </c>
      <c r="I73" s="172" t="str">
        <f t="array" ref="I73">IFERROR(XLOOKUP(E73,'Indicadores Master'!$D$2:$D$65,'Indicadores Master'!$J$2:$J$65,""),"")</f>
        <v/>
      </c>
      <c r="J73" s="171"/>
      <c r="K73" s="171"/>
      <c r="L73" s="172"/>
      <c r="M73" s="171"/>
      <c r="N73" s="172"/>
    </row>
    <row r="74" ht="15.75" customHeight="1">
      <c r="A74" s="170"/>
      <c r="B74" s="170"/>
      <c r="C74" s="170"/>
      <c r="D74" s="170"/>
      <c r="E74" s="170"/>
      <c r="F74" s="170" t="str">
        <f t="array" ref="F74">IFERROR(XLOOKUP(E74,'Indicadores Master'!$D$2:$D$65,'Indicadores Master'!$E$2:$E$65,""),"")</f>
        <v/>
      </c>
      <c r="G74" s="170" t="str">
        <f t="array" ref="G74">IFERROR(XLOOKUP(E74,'Indicadores Master'!$D$2:$D$65,'Indicadores Master'!$A$2:$A$65,""),"")</f>
        <v/>
      </c>
      <c r="H74" s="187" t="str">
        <f t="array" ref="H74">IFERROR(XLOOKUP(E74,'Indicadores Master'!$D$2:$D$65,'Indicadores Master'!$K$2:$K$65,""),"")</f>
        <v/>
      </c>
      <c r="I74" s="170" t="str">
        <f t="array" ref="I74">IFERROR(XLOOKUP(E74,'Indicadores Master'!$D$2:$D$65,'Indicadores Master'!$J$2:$J$65,""),"")</f>
        <v/>
      </c>
      <c r="J74" s="169"/>
      <c r="K74" s="169"/>
      <c r="L74" s="170"/>
      <c r="M74" s="169"/>
      <c r="N74" s="170"/>
    </row>
    <row r="75" ht="15.75" customHeight="1">
      <c r="A75" s="172"/>
      <c r="B75" s="172"/>
      <c r="C75" s="172"/>
      <c r="D75" s="172"/>
      <c r="E75" s="172"/>
      <c r="F75" s="172" t="str">
        <f t="array" ref="F75">IFERROR(XLOOKUP(E75,'Indicadores Master'!$D$2:$D$65,'Indicadores Master'!$E$2:$E$65,""),"")</f>
        <v/>
      </c>
      <c r="G75" s="172" t="str">
        <f t="array" ref="G75">IFERROR(XLOOKUP(E75,'Indicadores Master'!$D$2:$D$65,'Indicadores Master'!$A$2:$A$65,""),"")</f>
        <v/>
      </c>
      <c r="H75" s="188" t="str">
        <f t="array" ref="H75">IFERROR(XLOOKUP(E75,'Indicadores Master'!$D$2:$D$65,'Indicadores Master'!$K$2:$K$65,""),"")</f>
        <v/>
      </c>
      <c r="I75" s="172" t="str">
        <f t="array" ref="I75">IFERROR(XLOOKUP(E75,'Indicadores Master'!$D$2:$D$65,'Indicadores Master'!$J$2:$J$65,""),"")</f>
        <v/>
      </c>
      <c r="J75" s="171"/>
      <c r="K75" s="171"/>
      <c r="L75" s="172"/>
      <c r="M75" s="171"/>
      <c r="N75" s="172"/>
    </row>
    <row r="76" ht="15.75" customHeight="1">
      <c r="A76" s="170"/>
      <c r="B76" s="170"/>
      <c r="C76" s="170"/>
      <c r="D76" s="170"/>
      <c r="E76" s="170"/>
      <c r="F76" s="170" t="str">
        <f t="array" ref="F76">IFERROR(XLOOKUP(E76,'Indicadores Master'!$D$2:$D$65,'Indicadores Master'!$E$2:$E$65,""),"")</f>
        <v/>
      </c>
      <c r="G76" s="170" t="str">
        <f t="array" ref="G76">IFERROR(XLOOKUP(E76,'Indicadores Master'!$D$2:$D$65,'Indicadores Master'!$A$2:$A$65,""),"")</f>
        <v/>
      </c>
      <c r="H76" s="187" t="str">
        <f t="array" ref="H76">IFERROR(XLOOKUP(E76,'Indicadores Master'!$D$2:$D$65,'Indicadores Master'!$K$2:$K$65,""),"")</f>
        <v/>
      </c>
      <c r="I76" s="170" t="str">
        <f t="array" ref="I76">IFERROR(XLOOKUP(E76,'Indicadores Master'!$D$2:$D$65,'Indicadores Master'!$J$2:$J$65,""),"")</f>
        <v/>
      </c>
      <c r="J76" s="169"/>
      <c r="K76" s="169"/>
      <c r="L76" s="170"/>
      <c r="M76" s="169"/>
      <c r="N76" s="170"/>
    </row>
    <row r="77" ht="15.75" customHeight="1">
      <c r="A77" s="172"/>
      <c r="B77" s="172"/>
      <c r="C77" s="172"/>
      <c r="D77" s="172"/>
      <c r="E77" s="172"/>
      <c r="F77" s="172" t="str">
        <f t="array" ref="F77">IFERROR(XLOOKUP(E77,'Indicadores Master'!$D$2:$D$65,'Indicadores Master'!$E$2:$E$65,""),"")</f>
        <v/>
      </c>
      <c r="G77" s="172" t="str">
        <f t="array" ref="G77">IFERROR(XLOOKUP(E77,'Indicadores Master'!$D$2:$D$65,'Indicadores Master'!$A$2:$A$65,""),"")</f>
        <v/>
      </c>
      <c r="H77" s="188" t="str">
        <f t="array" ref="H77">IFERROR(XLOOKUP(E77,'Indicadores Master'!$D$2:$D$65,'Indicadores Master'!$K$2:$K$65,""),"")</f>
        <v/>
      </c>
      <c r="I77" s="172" t="str">
        <f t="array" ref="I77">IFERROR(XLOOKUP(E77,'Indicadores Master'!$D$2:$D$65,'Indicadores Master'!$J$2:$J$65,""),"")</f>
        <v/>
      </c>
      <c r="J77" s="171"/>
      <c r="K77" s="171"/>
      <c r="L77" s="172"/>
      <c r="M77" s="171"/>
      <c r="N77" s="172"/>
    </row>
    <row r="78" ht="15.75" customHeight="1">
      <c r="A78" s="170"/>
      <c r="B78" s="170"/>
      <c r="C78" s="170"/>
      <c r="D78" s="170"/>
      <c r="E78" s="170"/>
      <c r="F78" s="170" t="str">
        <f t="array" ref="F78">IFERROR(XLOOKUP(E78,'Indicadores Master'!$D$2:$D$65,'Indicadores Master'!$E$2:$E$65,""),"")</f>
        <v/>
      </c>
      <c r="G78" s="170" t="str">
        <f t="array" ref="G78">IFERROR(XLOOKUP(E78,'Indicadores Master'!$D$2:$D$65,'Indicadores Master'!$A$2:$A$65,""),"")</f>
        <v/>
      </c>
      <c r="H78" s="187" t="str">
        <f t="array" ref="H78">IFERROR(XLOOKUP(E78,'Indicadores Master'!$D$2:$D$65,'Indicadores Master'!$K$2:$K$65,""),"")</f>
        <v/>
      </c>
      <c r="I78" s="170" t="str">
        <f t="array" ref="I78">IFERROR(XLOOKUP(E78,'Indicadores Master'!$D$2:$D$65,'Indicadores Master'!$J$2:$J$65,""),"")</f>
        <v/>
      </c>
      <c r="J78" s="169"/>
      <c r="K78" s="169"/>
      <c r="L78" s="170"/>
      <c r="M78" s="169"/>
      <c r="N78" s="170"/>
    </row>
    <row r="79" ht="15.75" customHeight="1">
      <c r="A79" s="172"/>
      <c r="B79" s="172"/>
      <c r="C79" s="172"/>
      <c r="D79" s="172"/>
      <c r="E79" s="172"/>
      <c r="F79" s="172" t="str">
        <f t="array" ref="F79">IFERROR(XLOOKUP(E79,'Indicadores Master'!$D$2:$D$65,'Indicadores Master'!$E$2:$E$65,""),"")</f>
        <v/>
      </c>
      <c r="G79" s="172" t="str">
        <f t="array" ref="G79">IFERROR(XLOOKUP(E79,'Indicadores Master'!$D$2:$D$65,'Indicadores Master'!$A$2:$A$65,""),"")</f>
        <v/>
      </c>
      <c r="H79" s="188" t="str">
        <f t="array" ref="H79">IFERROR(XLOOKUP(E79,'Indicadores Master'!$D$2:$D$65,'Indicadores Master'!$K$2:$K$65,""),"")</f>
        <v/>
      </c>
      <c r="I79" s="172" t="str">
        <f t="array" ref="I79">IFERROR(XLOOKUP(E79,'Indicadores Master'!$D$2:$D$65,'Indicadores Master'!$J$2:$J$65,""),"")</f>
        <v/>
      </c>
      <c r="J79" s="171"/>
      <c r="K79" s="171"/>
      <c r="L79" s="172"/>
      <c r="M79" s="171"/>
      <c r="N79" s="172"/>
    </row>
    <row r="80" ht="15.75" customHeight="1">
      <c r="A80" s="170"/>
      <c r="B80" s="170"/>
      <c r="C80" s="170"/>
      <c r="D80" s="170"/>
      <c r="E80" s="170"/>
      <c r="F80" s="170" t="str">
        <f t="array" ref="F80">IFERROR(XLOOKUP(E80,'Indicadores Master'!$D$2:$D$65,'Indicadores Master'!$E$2:$E$65,""),"")</f>
        <v/>
      </c>
      <c r="G80" s="170" t="str">
        <f t="array" ref="G80">IFERROR(XLOOKUP(E80,'Indicadores Master'!$D$2:$D$65,'Indicadores Master'!$A$2:$A$65,""),"")</f>
        <v/>
      </c>
      <c r="H80" s="187" t="str">
        <f t="array" ref="H80">IFERROR(XLOOKUP(E80,'Indicadores Master'!$D$2:$D$65,'Indicadores Master'!$K$2:$K$65,""),"")</f>
        <v/>
      </c>
      <c r="I80" s="170" t="str">
        <f t="array" ref="I80">IFERROR(XLOOKUP(E80,'Indicadores Master'!$D$2:$D$65,'Indicadores Master'!$J$2:$J$65,""),"")</f>
        <v/>
      </c>
      <c r="J80" s="169"/>
      <c r="K80" s="169"/>
      <c r="L80" s="170"/>
      <c r="M80" s="169"/>
      <c r="N80" s="170"/>
    </row>
    <row r="81" ht="15.75" customHeight="1">
      <c r="A81" s="172"/>
      <c r="B81" s="172"/>
      <c r="C81" s="172"/>
      <c r="D81" s="172"/>
      <c r="E81" s="172"/>
      <c r="F81" s="172" t="str">
        <f t="array" ref="F81">IFERROR(XLOOKUP(E81,'Indicadores Master'!$D$2:$D$65,'Indicadores Master'!$E$2:$E$65,""),"")</f>
        <v/>
      </c>
      <c r="G81" s="172" t="str">
        <f t="array" ref="G81">IFERROR(XLOOKUP(E81,'Indicadores Master'!$D$2:$D$65,'Indicadores Master'!$A$2:$A$65,""),"")</f>
        <v/>
      </c>
      <c r="H81" s="188" t="str">
        <f t="array" ref="H81">IFERROR(XLOOKUP(E81,'Indicadores Master'!$D$2:$D$65,'Indicadores Master'!$K$2:$K$65,""),"")</f>
        <v/>
      </c>
      <c r="I81" s="172" t="str">
        <f t="array" ref="I81">IFERROR(XLOOKUP(E81,'Indicadores Master'!$D$2:$D$65,'Indicadores Master'!$J$2:$J$65,""),"")</f>
        <v/>
      </c>
      <c r="J81" s="171"/>
      <c r="K81" s="171"/>
      <c r="L81" s="172"/>
      <c r="M81" s="171"/>
      <c r="N81" s="172"/>
    </row>
    <row r="82" ht="15.75" customHeight="1">
      <c r="A82" s="170"/>
      <c r="B82" s="170"/>
      <c r="C82" s="170"/>
      <c r="D82" s="170"/>
      <c r="E82" s="170"/>
      <c r="F82" s="170" t="str">
        <f t="array" ref="F82">IFERROR(XLOOKUP(E82,'Indicadores Master'!$D$2:$D$65,'Indicadores Master'!$E$2:$E$65,""),"")</f>
        <v/>
      </c>
      <c r="G82" s="170" t="str">
        <f t="array" ref="G82">IFERROR(XLOOKUP(E82,'Indicadores Master'!$D$2:$D$65,'Indicadores Master'!$A$2:$A$65,""),"")</f>
        <v/>
      </c>
      <c r="H82" s="187" t="str">
        <f t="array" ref="H82">IFERROR(XLOOKUP(E82,'Indicadores Master'!$D$2:$D$65,'Indicadores Master'!$K$2:$K$65,""),"")</f>
        <v/>
      </c>
      <c r="I82" s="170" t="str">
        <f t="array" ref="I82">IFERROR(XLOOKUP(E82,'Indicadores Master'!$D$2:$D$65,'Indicadores Master'!$J$2:$J$65,""),"")</f>
        <v/>
      </c>
      <c r="J82" s="169"/>
      <c r="K82" s="169"/>
      <c r="L82" s="170"/>
      <c r="M82" s="169"/>
      <c r="N82" s="170"/>
    </row>
    <row r="83" ht="15.75" customHeight="1">
      <c r="A83" s="172"/>
      <c r="B83" s="172"/>
      <c r="C83" s="172"/>
      <c r="D83" s="172"/>
      <c r="E83" s="172"/>
      <c r="F83" s="172" t="str">
        <f t="array" ref="F83">IFERROR(XLOOKUP(E83,'Indicadores Master'!$D$2:$D$65,'Indicadores Master'!$E$2:$E$65,""),"")</f>
        <v/>
      </c>
      <c r="G83" s="172" t="str">
        <f t="array" ref="G83">IFERROR(XLOOKUP(E83,'Indicadores Master'!$D$2:$D$65,'Indicadores Master'!$A$2:$A$65,""),"")</f>
        <v/>
      </c>
      <c r="H83" s="188" t="str">
        <f t="array" ref="H83">IFERROR(XLOOKUP(E83,'Indicadores Master'!$D$2:$D$65,'Indicadores Master'!$K$2:$K$65,""),"")</f>
        <v/>
      </c>
      <c r="I83" s="172" t="str">
        <f t="array" ref="I83">IFERROR(XLOOKUP(E83,'Indicadores Master'!$D$2:$D$65,'Indicadores Master'!$J$2:$J$65,""),"")</f>
        <v/>
      </c>
      <c r="J83" s="171"/>
      <c r="K83" s="171"/>
      <c r="L83" s="172"/>
      <c r="M83" s="171"/>
      <c r="N83" s="172"/>
    </row>
    <row r="84" ht="15.75" customHeight="1">
      <c r="A84" s="170"/>
      <c r="B84" s="170"/>
      <c r="C84" s="170"/>
      <c r="D84" s="170"/>
      <c r="E84" s="170"/>
      <c r="F84" s="170" t="str">
        <f t="array" ref="F84">IFERROR(XLOOKUP(E84,'Indicadores Master'!$D$2:$D$65,'Indicadores Master'!$E$2:$E$65,""),"")</f>
        <v/>
      </c>
      <c r="G84" s="170" t="str">
        <f t="array" ref="G84">IFERROR(XLOOKUP(E84,'Indicadores Master'!$D$2:$D$65,'Indicadores Master'!$A$2:$A$65,""),"")</f>
        <v/>
      </c>
      <c r="H84" s="187" t="str">
        <f t="array" ref="H84">IFERROR(XLOOKUP(E84,'Indicadores Master'!$D$2:$D$65,'Indicadores Master'!$K$2:$K$65,""),"")</f>
        <v/>
      </c>
      <c r="I84" s="170" t="str">
        <f t="array" ref="I84">IFERROR(XLOOKUP(E84,'Indicadores Master'!$D$2:$D$65,'Indicadores Master'!$J$2:$J$65,""),"")</f>
        <v/>
      </c>
      <c r="J84" s="169"/>
      <c r="K84" s="169"/>
      <c r="L84" s="170"/>
      <c r="M84" s="169"/>
      <c r="N84" s="170"/>
    </row>
    <row r="85" ht="15.75" customHeight="1">
      <c r="A85" s="172"/>
      <c r="B85" s="172"/>
      <c r="C85" s="172"/>
      <c r="D85" s="172"/>
      <c r="E85" s="172"/>
      <c r="F85" s="172" t="str">
        <f t="array" ref="F85">IFERROR(XLOOKUP(E85,'Indicadores Master'!$D$2:$D$65,'Indicadores Master'!$E$2:$E$65,""),"")</f>
        <v/>
      </c>
      <c r="G85" s="172" t="str">
        <f t="array" ref="G85">IFERROR(XLOOKUP(E85,'Indicadores Master'!$D$2:$D$65,'Indicadores Master'!$A$2:$A$65,""),"")</f>
        <v/>
      </c>
      <c r="H85" s="188" t="str">
        <f t="array" ref="H85">IFERROR(XLOOKUP(E85,'Indicadores Master'!$D$2:$D$65,'Indicadores Master'!$K$2:$K$65,""),"")</f>
        <v/>
      </c>
      <c r="I85" s="172" t="str">
        <f t="array" ref="I85">IFERROR(XLOOKUP(E85,'Indicadores Master'!$D$2:$D$65,'Indicadores Master'!$J$2:$J$65,""),"")</f>
        <v/>
      </c>
      <c r="J85" s="171"/>
      <c r="K85" s="171"/>
      <c r="L85" s="172"/>
      <c r="M85" s="171"/>
      <c r="N85" s="172"/>
    </row>
    <row r="86" ht="15.75" customHeight="1">
      <c r="A86" s="170"/>
      <c r="B86" s="170"/>
      <c r="C86" s="170"/>
      <c r="D86" s="170"/>
      <c r="E86" s="170"/>
      <c r="F86" s="170" t="str">
        <f t="array" ref="F86">IFERROR(XLOOKUP(E86,'Indicadores Master'!$D$2:$D$65,'Indicadores Master'!$E$2:$E$65,""),"")</f>
        <v/>
      </c>
      <c r="G86" s="170" t="str">
        <f t="array" ref="G86">IFERROR(XLOOKUP(E86,'Indicadores Master'!$D$2:$D$65,'Indicadores Master'!$A$2:$A$65,""),"")</f>
        <v/>
      </c>
      <c r="H86" s="187" t="str">
        <f t="array" ref="H86">IFERROR(XLOOKUP(E86,'Indicadores Master'!$D$2:$D$65,'Indicadores Master'!$K$2:$K$65,""),"")</f>
        <v/>
      </c>
      <c r="I86" s="170" t="str">
        <f t="array" ref="I86">IFERROR(XLOOKUP(E86,'Indicadores Master'!$D$2:$D$65,'Indicadores Master'!$J$2:$J$65,""),"")</f>
        <v/>
      </c>
      <c r="J86" s="169"/>
      <c r="K86" s="169"/>
      <c r="L86" s="170"/>
      <c r="M86" s="169"/>
      <c r="N86" s="170"/>
    </row>
    <row r="87" ht="15.75" customHeight="1">
      <c r="A87" s="172"/>
      <c r="B87" s="172"/>
      <c r="C87" s="172"/>
      <c r="D87" s="172"/>
      <c r="E87" s="172"/>
      <c r="F87" s="172" t="str">
        <f t="array" ref="F87">IFERROR(XLOOKUP(E87,'Indicadores Master'!$D$2:$D$65,'Indicadores Master'!$E$2:$E$65,""),"")</f>
        <v/>
      </c>
      <c r="G87" s="172" t="str">
        <f t="array" ref="G87">IFERROR(XLOOKUP(E87,'Indicadores Master'!$D$2:$D$65,'Indicadores Master'!$A$2:$A$65,""),"")</f>
        <v/>
      </c>
      <c r="H87" s="188" t="str">
        <f t="array" ref="H87">IFERROR(XLOOKUP(E87,'Indicadores Master'!$D$2:$D$65,'Indicadores Master'!$K$2:$K$65,""),"")</f>
        <v/>
      </c>
      <c r="I87" s="172" t="str">
        <f t="array" ref="I87">IFERROR(XLOOKUP(E87,'Indicadores Master'!$D$2:$D$65,'Indicadores Master'!$J$2:$J$65,""),"")</f>
        <v/>
      </c>
      <c r="J87" s="171"/>
      <c r="K87" s="171"/>
      <c r="L87" s="172"/>
      <c r="M87" s="171"/>
      <c r="N87" s="172"/>
    </row>
    <row r="88" ht="15.75" customHeight="1">
      <c r="A88" s="170"/>
      <c r="B88" s="170"/>
      <c r="C88" s="170"/>
      <c r="D88" s="170"/>
      <c r="E88" s="170"/>
      <c r="F88" s="170" t="str">
        <f t="array" ref="F88">IFERROR(XLOOKUP(E88,'Indicadores Master'!$D$2:$D$65,'Indicadores Master'!$E$2:$E$65,""),"")</f>
        <v/>
      </c>
      <c r="G88" s="170" t="str">
        <f t="array" ref="G88">IFERROR(XLOOKUP(E88,'Indicadores Master'!$D$2:$D$65,'Indicadores Master'!$A$2:$A$65,""),"")</f>
        <v/>
      </c>
      <c r="H88" s="187" t="str">
        <f t="array" ref="H88">IFERROR(XLOOKUP(E88,'Indicadores Master'!$D$2:$D$65,'Indicadores Master'!$K$2:$K$65,""),"")</f>
        <v/>
      </c>
      <c r="I88" s="170" t="str">
        <f t="array" ref="I88">IFERROR(XLOOKUP(E88,'Indicadores Master'!$D$2:$D$65,'Indicadores Master'!$J$2:$J$65,""),"")</f>
        <v/>
      </c>
      <c r="J88" s="169"/>
      <c r="K88" s="169"/>
      <c r="L88" s="170"/>
      <c r="M88" s="169"/>
      <c r="N88" s="170"/>
    </row>
    <row r="89" ht="15.75" customHeight="1">
      <c r="A89" s="172"/>
      <c r="B89" s="172"/>
      <c r="C89" s="172"/>
      <c r="D89" s="172"/>
      <c r="E89" s="172"/>
      <c r="F89" s="172" t="str">
        <f t="array" ref="F89">IFERROR(XLOOKUP(E89,'Indicadores Master'!$D$2:$D$65,'Indicadores Master'!$E$2:$E$65,""),"")</f>
        <v/>
      </c>
      <c r="G89" s="172" t="str">
        <f t="array" ref="G89">IFERROR(XLOOKUP(E89,'Indicadores Master'!$D$2:$D$65,'Indicadores Master'!$A$2:$A$65,""),"")</f>
        <v/>
      </c>
      <c r="H89" s="188" t="str">
        <f t="array" ref="H89">IFERROR(XLOOKUP(E89,'Indicadores Master'!$D$2:$D$65,'Indicadores Master'!$K$2:$K$65,""),"")</f>
        <v/>
      </c>
      <c r="I89" s="172" t="str">
        <f t="array" ref="I89">IFERROR(XLOOKUP(E89,'Indicadores Master'!$D$2:$D$65,'Indicadores Master'!$J$2:$J$65,""),"")</f>
        <v/>
      </c>
      <c r="J89" s="171"/>
      <c r="K89" s="171"/>
      <c r="L89" s="172"/>
      <c r="M89" s="171"/>
      <c r="N89" s="172"/>
    </row>
    <row r="90" ht="15.75" customHeight="1">
      <c r="A90" s="170"/>
      <c r="B90" s="170"/>
      <c r="C90" s="170"/>
      <c r="D90" s="170"/>
      <c r="E90" s="170"/>
      <c r="F90" s="170" t="str">
        <f t="array" ref="F90">IFERROR(XLOOKUP(E90,'Indicadores Master'!$D$2:$D$65,'Indicadores Master'!$E$2:$E$65,""),"")</f>
        <v/>
      </c>
      <c r="G90" s="170" t="str">
        <f t="array" ref="G90">IFERROR(XLOOKUP(E90,'Indicadores Master'!$D$2:$D$65,'Indicadores Master'!$A$2:$A$65,""),"")</f>
        <v/>
      </c>
      <c r="H90" s="187" t="str">
        <f t="array" ref="H90">IFERROR(XLOOKUP(E90,'Indicadores Master'!$D$2:$D$65,'Indicadores Master'!$K$2:$K$65,""),"")</f>
        <v/>
      </c>
      <c r="I90" s="170" t="str">
        <f t="array" ref="I90">IFERROR(XLOOKUP(E90,'Indicadores Master'!$D$2:$D$65,'Indicadores Master'!$J$2:$J$65,""),"")</f>
        <v/>
      </c>
      <c r="J90" s="169"/>
      <c r="K90" s="169"/>
      <c r="L90" s="170"/>
      <c r="M90" s="169"/>
      <c r="N90" s="170"/>
    </row>
    <row r="91" ht="15.75" customHeight="1">
      <c r="A91" s="172"/>
      <c r="B91" s="172"/>
      <c r="C91" s="172"/>
      <c r="D91" s="172"/>
      <c r="E91" s="172"/>
      <c r="F91" s="172" t="str">
        <f t="array" ref="F91">IFERROR(XLOOKUP(E91,'Indicadores Master'!$D$2:$D$65,'Indicadores Master'!$E$2:$E$65,""),"")</f>
        <v/>
      </c>
      <c r="G91" s="172" t="str">
        <f t="array" ref="G91">IFERROR(XLOOKUP(E91,'Indicadores Master'!$D$2:$D$65,'Indicadores Master'!$A$2:$A$65,""),"")</f>
        <v/>
      </c>
      <c r="H91" s="188" t="str">
        <f t="array" ref="H91">IFERROR(XLOOKUP(E91,'Indicadores Master'!$D$2:$D$65,'Indicadores Master'!$K$2:$K$65,""),"")</f>
        <v/>
      </c>
      <c r="I91" s="172" t="str">
        <f t="array" ref="I91">IFERROR(XLOOKUP(E91,'Indicadores Master'!$D$2:$D$65,'Indicadores Master'!$J$2:$J$65,""),"")</f>
        <v/>
      </c>
      <c r="J91" s="171"/>
      <c r="K91" s="171"/>
      <c r="L91" s="172"/>
      <c r="M91" s="171"/>
      <c r="N91" s="172"/>
    </row>
    <row r="92" ht="15.75" customHeight="1">
      <c r="A92" s="170"/>
      <c r="B92" s="170"/>
      <c r="C92" s="170"/>
      <c r="D92" s="170"/>
      <c r="E92" s="170"/>
      <c r="F92" s="170" t="str">
        <f t="array" ref="F92">IFERROR(XLOOKUP(E92,'Indicadores Master'!$D$2:$D$65,'Indicadores Master'!$E$2:$E$65,""),"")</f>
        <v/>
      </c>
      <c r="G92" s="170" t="str">
        <f t="array" ref="G92">IFERROR(XLOOKUP(E92,'Indicadores Master'!$D$2:$D$65,'Indicadores Master'!$A$2:$A$65,""),"")</f>
        <v/>
      </c>
      <c r="H92" s="187" t="str">
        <f t="array" ref="H92">IFERROR(XLOOKUP(E92,'Indicadores Master'!$D$2:$D$65,'Indicadores Master'!$K$2:$K$65,""),"")</f>
        <v/>
      </c>
      <c r="I92" s="170" t="str">
        <f t="array" ref="I92">IFERROR(XLOOKUP(E92,'Indicadores Master'!$D$2:$D$65,'Indicadores Master'!$J$2:$J$65,""),"")</f>
        <v/>
      </c>
      <c r="J92" s="169"/>
      <c r="K92" s="169"/>
      <c r="L92" s="170"/>
      <c r="M92" s="169"/>
      <c r="N92" s="170"/>
    </row>
    <row r="93" ht="15.75" customHeight="1">
      <c r="A93" s="172"/>
      <c r="B93" s="172"/>
      <c r="C93" s="172"/>
      <c r="D93" s="172"/>
      <c r="E93" s="172"/>
      <c r="F93" s="172" t="str">
        <f t="array" ref="F93">IFERROR(XLOOKUP(E93,'Indicadores Master'!$D$2:$D$65,'Indicadores Master'!$E$2:$E$65,""),"")</f>
        <v/>
      </c>
      <c r="G93" s="172" t="str">
        <f t="array" ref="G93">IFERROR(XLOOKUP(E93,'Indicadores Master'!$D$2:$D$65,'Indicadores Master'!$A$2:$A$65,""),"")</f>
        <v/>
      </c>
      <c r="H93" s="188" t="str">
        <f t="array" ref="H93">IFERROR(XLOOKUP(E93,'Indicadores Master'!$D$2:$D$65,'Indicadores Master'!$K$2:$K$65,""),"")</f>
        <v/>
      </c>
      <c r="I93" s="172" t="str">
        <f t="array" ref="I93">IFERROR(XLOOKUP(E93,'Indicadores Master'!$D$2:$D$65,'Indicadores Master'!$J$2:$J$65,""),"")</f>
        <v/>
      </c>
      <c r="J93" s="171"/>
      <c r="K93" s="171"/>
      <c r="L93" s="172"/>
      <c r="M93" s="171"/>
      <c r="N93" s="172"/>
    </row>
    <row r="94" ht="15.75" customHeight="1">
      <c r="A94" s="170"/>
      <c r="B94" s="170"/>
      <c r="C94" s="170"/>
      <c r="D94" s="170"/>
      <c r="E94" s="170"/>
      <c r="F94" s="170" t="str">
        <f t="array" ref="F94">IFERROR(XLOOKUP(E94,'Indicadores Master'!$D$2:$D$65,'Indicadores Master'!$E$2:$E$65,""),"")</f>
        <v/>
      </c>
      <c r="G94" s="170" t="str">
        <f t="array" ref="G94">IFERROR(XLOOKUP(E94,'Indicadores Master'!$D$2:$D$65,'Indicadores Master'!$A$2:$A$65,""),"")</f>
        <v/>
      </c>
      <c r="H94" s="187" t="str">
        <f t="array" ref="H94">IFERROR(XLOOKUP(E94,'Indicadores Master'!$D$2:$D$65,'Indicadores Master'!$K$2:$K$65,""),"")</f>
        <v/>
      </c>
      <c r="I94" s="170" t="str">
        <f t="array" ref="I94">IFERROR(XLOOKUP(E94,'Indicadores Master'!$D$2:$D$65,'Indicadores Master'!$J$2:$J$65,""),"")</f>
        <v/>
      </c>
      <c r="J94" s="169"/>
      <c r="K94" s="169"/>
      <c r="L94" s="170"/>
      <c r="M94" s="169"/>
      <c r="N94" s="170"/>
    </row>
    <row r="95" ht="15.75" customHeight="1">
      <c r="A95" s="172"/>
      <c r="B95" s="172"/>
      <c r="C95" s="172"/>
      <c r="D95" s="172"/>
      <c r="E95" s="172"/>
      <c r="F95" s="172" t="str">
        <f t="array" ref="F95">IFERROR(XLOOKUP(E95,'Indicadores Master'!$D$2:$D$65,'Indicadores Master'!$E$2:$E$65,""),"")</f>
        <v/>
      </c>
      <c r="G95" s="172" t="str">
        <f t="array" ref="G95">IFERROR(XLOOKUP(E95,'Indicadores Master'!$D$2:$D$65,'Indicadores Master'!$A$2:$A$65,""),"")</f>
        <v/>
      </c>
      <c r="H95" s="188" t="str">
        <f t="array" ref="H95">IFERROR(XLOOKUP(E95,'Indicadores Master'!$D$2:$D$65,'Indicadores Master'!$K$2:$K$65,""),"")</f>
        <v/>
      </c>
      <c r="I95" s="172" t="str">
        <f t="array" ref="I95">IFERROR(XLOOKUP(E95,'Indicadores Master'!$D$2:$D$65,'Indicadores Master'!$J$2:$J$65,""),"")</f>
        <v/>
      </c>
      <c r="J95" s="171"/>
      <c r="K95" s="171"/>
      <c r="L95" s="172"/>
      <c r="M95" s="171"/>
      <c r="N95" s="172"/>
    </row>
    <row r="96" ht="15.75" customHeight="1">
      <c r="A96" s="170"/>
      <c r="B96" s="170"/>
      <c r="C96" s="170"/>
      <c r="D96" s="170"/>
      <c r="E96" s="170"/>
      <c r="F96" s="170" t="str">
        <f t="array" ref="F96">IFERROR(XLOOKUP(E96,'Indicadores Master'!$D$2:$D$65,'Indicadores Master'!$E$2:$E$65,""),"")</f>
        <v/>
      </c>
      <c r="G96" s="170" t="str">
        <f t="array" ref="G96">IFERROR(XLOOKUP(E96,'Indicadores Master'!$D$2:$D$65,'Indicadores Master'!$A$2:$A$65,""),"")</f>
        <v/>
      </c>
      <c r="H96" s="187" t="str">
        <f t="array" ref="H96">IFERROR(XLOOKUP(E96,'Indicadores Master'!$D$2:$D$65,'Indicadores Master'!$K$2:$K$65,""),"")</f>
        <v/>
      </c>
      <c r="I96" s="170" t="str">
        <f t="array" ref="I96">IFERROR(XLOOKUP(E96,'Indicadores Master'!$D$2:$D$65,'Indicadores Master'!$J$2:$J$65,""),"")</f>
        <v/>
      </c>
      <c r="J96" s="169"/>
      <c r="K96" s="169"/>
      <c r="L96" s="170"/>
      <c r="M96" s="169"/>
      <c r="N96" s="170"/>
    </row>
    <row r="97" ht="15.75" customHeight="1">
      <c r="A97" s="172"/>
      <c r="B97" s="172"/>
      <c r="C97" s="172"/>
      <c r="D97" s="172"/>
      <c r="E97" s="172"/>
      <c r="F97" s="172" t="str">
        <f t="array" ref="F97">IFERROR(XLOOKUP(E97,'Indicadores Master'!$D$2:$D$65,'Indicadores Master'!$E$2:$E$65,""),"")</f>
        <v/>
      </c>
      <c r="G97" s="172" t="str">
        <f t="array" ref="G97">IFERROR(XLOOKUP(E97,'Indicadores Master'!$D$2:$D$65,'Indicadores Master'!$A$2:$A$65,""),"")</f>
        <v/>
      </c>
      <c r="H97" s="188" t="str">
        <f t="array" ref="H97">IFERROR(XLOOKUP(E97,'Indicadores Master'!$D$2:$D$65,'Indicadores Master'!$K$2:$K$65,""),"")</f>
        <v/>
      </c>
      <c r="I97" s="172" t="str">
        <f t="array" ref="I97">IFERROR(XLOOKUP(E97,'Indicadores Master'!$D$2:$D$65,'Indicadores Master'!$J$2:$J$65,""),"")</f>
        <v/>
      </c>
      <c r="J97" s="171"/>
      <c r="K97" s="171"/>
      <c r="L97" s="172"/>
      <c r="M97" s="171"/>
      <c r="N97" s="172"/>
    </row>
    <row r="98" ht="15.75" customHeight="1">
      <c r="A98" s="170"/>
      <c r="B98" s="170"/>
      <c r="C98" s="170"/>
      <c r="D98" s="170"/>
      <c r="E98" s="170"/>
      <c r="F98" s="170" t="str">
        <f t="array" ref="F98">IFERROR(XLOOKUP(E98,'Indicadores Master'!$D$2:$D$65,'Indicadores Master'!$E$2:$E$65,""),"")</f>
        <v/>
      </c>
      <c r="G98" s="170" t="str">
        <f t="array" ref="G98">IFERROR(XLOOKUP(E98,'Indicadores Master'!$D$2:$D$65,'Indicadores Master'!$A$2:$A$65,""),"")</f>
        <v/>
      </c>
      <c r="H98" s="187" t="str">
        <f t="array" ref="H98">IFERROR(XLOOKUP(E98,'Indicadores Master'!$D$2:$D$65,'Indicadores Master'!$K$2:$K$65,""),"")</f>
        <v/>
      </c>
      <c r="I98" s="170" t="str">
        <f t="array" ref="I98">IFERROR(XLOOKUP(E98,'Indicadores Master'!$D$2:$D$65,'Indicadores Master'!$J$2:$J$65,""),"")</f>
        <v/>
      </c>
      <c r="J98" s="169"/>
      <c r="K98" s="169"/>
      <c r="L98" s="170"/>
      <c r="M98" s="169"/>
      <c r="N98" s="170"/>
    </row>
    <row r="99" ht="15.75" customHeight="1">
      <c r="A99" s="172"/>
      <c r="B99" s="172"/>
      <c r="C99" s="172"/>
      <c r="D99" s="172"/>
      <c r="E99" s="172"/>
      <c r="F99" s="172" t="str">
        <f t="array" ref="F99">IFERROR(XLOOKUP(E99,'Indicadores Master'!$D$2:$D$65,'Indicadores Master'!$E$2:$E$65,""),"")</f>
        <v/>
      </c>
      <c r="G99" s="172" t="str">
        <f t="array" ref="G99">IFERROR(XLOOKUP(E99,'Indicadores Master'!$D$2:$D$65,'Indicadores Master'!$A$2:$A$65,""),"")</f>
        <v/>
      </c>
      <c r="H99" s="188" t="str">
        <f t="array" ref="H99">IFERROR(XLOOKUP(E99,'Indicadores Master'!$D$2:$D$65,'Indicadores Master'!$K$2:$K$65,""),"")</f>
        <v/>
      </c>
      <c r="I99" s="172" t="str">
        <f t="array" ref="I99">IFERROR(XLOOKUP(E99,'Indicadores Master'!$D$2:$D$65,'Indicadores Master'!$J$2:$J$65,""),"")</f>
        <v/>
      </c>
      <c r="J99" s="171"/>
      <c r="K99" s="171"/>
      <c r="L99" s="172"/>
      <c r="M99" s="171"/>
      <c r="N99" s="172"/>
    </row>
    <row r="100" ht="15.75" customHeight="1">
      <c r="A100" s="170"/>
      <c r="B100" s="170"/>
      <c r="C100" s="170"/>
      <c r="D100" s="170"/>
      <c r="E100" s="170"/>
      <c r="F100" s="170" t="str">
        <f t="array" ref="F100">IFERROR(XLOOKUP(E100,'Indicadores Master'!$D$2:$D$65,'Indicadores Master'!$E$2:$E$65,""),"")</f>
        <v/>
      </c>
      <c r="G100" s="170" t="str">
        <f t="array" ref="G100">IFERROR(XLOOKUP(E100,'Indicadores Master'!$D$2:$D$65,'Indicadores Master'!$A$2:$A$65,""),"")</f>
        <v/>
      </c>
      <c r="H100" s="187" t="str">
        <f t="array" ref="H100">IFERROR(XLOOKUP(E100,'Indicadores Master'!$D$2:$D$65,'Indicadores Master'!$K$2:$K$65,""),"")</f>
        <v/>
      </c>
      <c r="I100" s="170" t="str">
        <f t="array" ref="I100">IFERROR(XLOOKUP(E100,'Indicadores Master'!$D$2:$D$65,'Indicadores Master'!$J$2:$J$65,""),"")</f>
        <v/>
      </c>
      <c r="J100" s="169"/>
      <c r="K100" s="169"/>
      <c r="L100" s="170"/>
      <c r="M100" s="169"/>
      <c r="N100" s="170"/>
    </row>
    <row r="101" ht="15.75" customHeight="1">
      <c r="A101" s="172"/>
      <c r="B101" s="172"/>
      <c r="C101" s="172"/>
      <c r="D101" s="172"/>
      <c r="E101" s="172"/>
      <c r="F101" s="172" t="str">
        <f t="array" ref="F101">IFERROR(XLOOKUP(E101,'Indicadores Master'!$D$2:$D$65,'Indicadores Master'!$E$2:$E$65,""),"")</f>
        <v/>
      </c>
      <c r="G101" s="172" t="str">
        <f t="array" ref="G101">IFERROR(XLOOKUP(E101,'Indicadores Master'!$D$2:$D$65,'Indicadores Master'!$A$2:$A$65,""),"")</f>
        <v/>
      </c>
      <c r="H101" s="188" t="str">
        <f t="array" ref="H101">IFERROR(XLOOKUP(E101,'Indicadores Master'!$D$2:$D$65,'Indicadores Master'!$K$2:$K$65,""),"")</f>
        <v/>
      </c>
      <c r="I101" s="172" t="str">
        <f t="array" ref="I101">IFERROR(XLOOKUP(E101,'Indicadores Master'!$D$2:$D$65,'Indicadores Master'!$J$2:$J$65,""),"")</f>
        <v/>
      </c>
      <c r="J101" s="171"/>
      <c r="K101" s="171"/>
      <c r="L101" s="172"/>
      <c r="M101" s="171"/>
      <c r="N101" s="172"/>
    </row>
    <row r="102" ht="15.75" customHeight="1">
      <c r="A102" s="170"/>
      <c r="B102" s="170"/>
      <c r="C102" s="170"/>
      <c r="D102" s="170"/>
      <c r="E102" s="170"/>
      <c r="F102" s="170" t="str">
        <f t="array" ref="F102">IFERROR(XLOOKUP(E102,'Indicadores Master'!$D$2:$D$65,'Indicadores Master'!$E$2:$E$65,""),"")</f>
        <v/>
      </c>
      <c r="G102" s="170" t="str">
        <f t="array" ref="G102">IFERROR(XLOOKUP(E102,'Indicadores Master'!$D$2:$D$65,'Indicadores Master'!$A$2:$A$65,""),"")</f>
        <v/>
      </c>
      <c r="H102" s="187" t="str">
        <f t="array" ref="H102">IFERROR(XLOOKUP(E102,'Indicadores Master'!$D$2:$D$65,'Indicadores Master'!$K$2:$K$65,""),"")</f>
        <v/>
      </c>
      <c r="I102" s="170" t="str">
        <f t="array" ref="I102">IFERROR(XLOOKUP(E102,'Indicadores Master'!$D$2:$D$65,'Indicadores Master'!$J$2:$J$65,""),"")</f>
        <v/>
      </c>
      <c r="J102" s="169"/>
      <c r="K102" s="169"/>
      <c r="L102" s="170"/>
      <c r="M102" s="169"/>
      <c r="N102" s="170"/>
    </row>
    <row r="103" ht="15.75" customHeight="1">
      <c r="A103" s="172"/>
      <c r="B103" s="172"/>
      <c r="C103" s="172"/>
      <c r="D103" s="172"/>
      <c r="E103" s="172"/>
      <c r="F103" s="172" t="str">
        <f t="array" ref="F103">IFERROR(XLOOKUP(E103,'Indicadores Master'!$D$2:$D$65,'Indicadores Master'!$E$2:$E$65,""),"")</f>
        <v/>
      </c>
      <c r="G103" s="172" t="str">
        <f t="array" ref="G103">IFERROR(XLOOKUP(E103,'Indicadores Master'!$D$2:$D$65,'Indicadores Master'!$A$2:$A$65,""),"")</f>
        <v/>
      </c>
      <c r="H103" s="188" t="str">
        <f t="array" ref="H103">IFERROR(XLOOKUP(E103,'Indicadores Master'!$D$2:$D$65,'Indicadores Master'!$K$2:$K$65,""),"")</f>
        <v/>
      </c>
      <c r="I103" s="172" t="str">
        <f t="array" ref="I103">IFERROR(XLOOKUP(E103,'Indicadores Master'!$D$2:$D$65,'Indicadores Master'!$J$2:$J$65,""),"")</f>
        <v/>
      </c>
      <c r="J103" s="171"/>
      <c r="K103" s="171"/>
      <c r="L103" s="172"/>
      <c r="M103" s="171"/>
      <c r="N103" s="172"/>
    </row>
    <row r="104" ht="15.75" customHeight="1">
      <c r="A104" s="170"/>
      <c r="B104" s="170"/>
      <c r="C104" s="170"/>
      <c r="D104" s="170"/>
      <c r="E104" s="170"/>
      <c r="F104" s="170" t="str">
        <f t="array" ref="F104">IFERROR(XLOOKUP(E104,'Indicadores Master'!$D$2:$D$65,'Indicadores Master'!$E$2:$E$65,""),"")</f>
        <v/>
      </c>
      <c r="G104" s="170" t="str">
        <f t="array" ref="G104">IFERROR(XLOOKUP(E104,'Indicadores Master'!$D$2:$D$65,'Indicadores Master'!$A$2:$A$65,""),"")</f>
        <v/>
      </c>
      <c r="H104" s="187" t="str">
        <f t="array" ref="H104">IFERROR(XLOOKUP(E104,'Indicadores Master'!$D$2:$D$65,'Indicadores Master'!$K$2:$K$65,""),"")</f>
        <v/>
      </c>
      <c r="I104" s="170" t="str">
        <f t="array" ref="I104">IFERROR(XLOOKUP(E104,'Indicadores Master'!$D$2:$D$65,'Indicadores Master'!$J$2:$J$65,""),"")</f>
        <v/>
      </c>
      <c r="J104" s="169"/>
      <c r="K104" s="169"/>
      <c r="L104" s="170"/>
      <c r="M104" s="169"/>
      <c r="N104" s="170"/>
    </row>
    <row r="105" ht="15.75" customHeight="1">
      <c r="A105" s="172"/>
      <c r="B105" s="172"/>
      <c r="C105" s="172"/>
      <c r="D105" s="172"/>
      <c r="E105" s="172"/>
      <c r="F105" s="172" t="str">
        <f t="array" ref="F105">IFERROR(XLOOKUP(E105,'Indicadores Master'!$D$2:$D$65,'Indicadores Master'!$E$2:$E$65,""),"")</f>
        <v/>
      </c>
      <c r="G105" s="172" t="str">
        <f t="array" ref="G105">IFERROR(XLOOKUP(E105,'Indicadores Master'!$D$2:$D$65,'Indicadores Master'!$A$2:$A$65,""),"")</f>
        <v/>
      </c>
      <c r="H105" s="188" t="str">
        <f t="array" ref="H105">IFERROR(XLOOKUP(E105,'Indicadores Master'!$D$2:$D$65,'Indicadores Master'!$K$2:$K$65,""),"")</f>
        <v/>
      </c>
      <c r="I105" s="172" t="str">
        <f t="array" ref="I105">IFERROR(XLOOKUP(E105,'Indicadores Master'!$D$2:$D$65,'Indicadores Master'!$J$2:$J$65,""),"")</f>
        <v/>
      </c>
      <c r="J105" s="171"/>
      <c r="K105" s="171"/>
      <c r="L105" s="172"/>
      <c r="M105" s="171"/>
      <c r="N105" s="172"/>
    </row>
    <row r="106" ht="15.75" customHeight="1">
      <c r="A106" s="170"/>
      <c r="B106" s="170"/>
      <c r="C106" s="170"/>
      <c r="D106" s="170"/>
      <c r="E106" s="170"/>
      <c r="F106" s="170" t="str">
        <f t="array" ref="F106">IFERROR(XLOOKUP(E106,'Indicadores Master'!$D$2:$D$65,'Indicadores Master'!$E$2:$E$65,""),"")</f>
        <v/>
      </c>
      <c r="G106" s="170" t="str">
        <f t="array" ref="G106">IFERROR(XLOOKUP(E106,'Indicadores Master'!$D$2:$D$65,'Indicadores Master'!$A$2:$A$65,""),"")</f>
        <v/>
      </c>
      <c r="H106" s="187" t="str">
        <f t="array" ref="H106">IFERROR(XLOOKUP(E106,'Indicadores Master'!$D$2:$D$65,'Indicadores Master'!$K$2:$K$65,""),"")</f>
        <v/>
      </c>
      <c r="I106" s="170" t="str">
        <f t="array" ref="I106">IFERROR(XLOOKUP(E106,'Indicadores Master'!$D$2:$D$65,'Indicadores Master'!$J$2:$J$65,""),"")</f>
        <v/>
      </c>
      <c r="J106" s="169"/>
      <c r="K106" s="169"/>
      <c r="L106" s="170"/>
      <c r="M106" s="169"/>
      <c r="N106" s="170"/>
    </row>
    <row r="107" ht="15.75" customHeight="1">
      <c r="A107" s="172"/>
      <c r="B107" s="172"/>
      <c r="C107" s="172"/>
      <c r="D107" s="172"/>
      <c r="E107" s="172"/>
      <c r="F107" s="172" t="str">
        <f t="array" ref="F107">IFERROR(XLOOKUP(E107,'Indicadores Master'!$D$2:$D$65,'Indicadores Master'!$E$2:$E$65,""),"")</f>
        <v/>
      </c>
      <c r="G107" s="172" t="str">
        <f t="array" ref="G107">IFERROR(XLOOKUP(E107,'Indicadores Master'!$D$2:$D$65,'Indicadores Master'!$A$2:$A$65,""),"")</f>
        <v/>
      </c>
      <c r="H107" s="188" t="str">
        <f t="array" ref="H107">IFERROR(XLOOKUP(E107,'Indicadores Master'!$D$2:$D$65,'Indicadores Master'!$K$2:$K$65,""),"")</f>
        <v/>
      </c>
      <c r="I107" s="172" t="str">
        <f t="array" ref="I107">IFERROR(XLOOKUP(E107,'Indicadores Master'!$D$2:$D$65,'Indicadores Master'!$J$2:$J$65,""),"")</f>
        <v/>
      </c>
      <c r="J107" s="171"/>
      <c r="K107" s="171"/>
      <c r="L107" s="172"/>
      <c r="M107" s="171"/>
      <c r="N107" s="172"/>
    </row>
    <row r="108" ht="15.75" customHeight="1">
      <c r="A108" s="170"/>
      <c r="B108" s="170"/>
      <c r="C108" s="170"/>
      <c r="D108" s="170"/>
      <c r="E108" s="170"/>
      <c r="F108" s="170" t="str">
        <f t="array" ref="F108">IFERROR(XLOOKUP(E108,'Indicadores Master'!$D$2:$D$65,'Indicadores Master'!$E$2:$E$65,""),"")</f>
        <v/>
      </c>
      <c r="G108" s="170" t="str">
        <f t="array" ref="G108">IFERROR(XLOOKUP(E108,'Indicadores Master'!$D$2:$D$65,'Indicadores Master'!$A$2:$A$65,""),"")</f>
        <v/>
      </c>
      <c r="H108" s="187" t="str">
        <f t="array" ref="H108">IFERROR(XLOOKUP(E108,'Indicadores Master'!$D$2:$D$65,'Indicadores Master'!$K$2:$K$65,""),"")</f>
        <v/>
      </c>
      <c r="I108" s="170" t="str">
        <f t="array" ref="I108">IFERROR(XLOOKUP(E108,'Indicadores Master'!$D$2:$D$65,'Indicadores Master'!$J$2:$J$65,""),"")</f>
        <v/>
      </c>
      <c r="J108" s="169"/>
      <c r="K108" s="169"/>
      <c r="L108" s="170"/>
      <c r="M108" s="169"/>
      <c r="N108" s="170"/>
    </row>
    <row r="109" ht="15.75" customHeight="1">
      <c r="A109" s="172"/>
      <c r="B109" s="172"/>
      <c r="C109" s="172"/>
      <c r="D109" s="172"/>
      <c r="E109" s="172"/>
      <c r="F109" s="172" t="str">
        <f t="array" ref="F109">IFERROR(XLOOKUP(E109,'Indicadores Master'!$D$2:$D$65,'Indicadores Master'!$E$2:$E$65,""),"")</f>
        <v/>
      </c>
      <c r="G109" s="172" t="str">
        <f t="array" ref="G109">IFERROR(XLOOKUP(E109,'Indicadores Master'!$D$2:$D$65,'Indicadores Master'!$A$2:$A$65,""),"")</f>
        <v/>
      </c>
      <c r="H109" s="188" t="str">
        <f t="array" ref="H109">IFERROR(XLOOKUP(E109,'Indicadores Master'!$D$2:$D$65,'Indicadores Master'!$K$2:$K$65,""),"")</f>
        <v/>
      </c>
      <c r="I109" s="172" t="str">
        <f t="array" ref="I109">IFERROR(XLOOKUP(E109,'Indicadores Master'!$D$2:$D$65,'Indicadores Master'!$J$2:$J$65,""),"")</f>
        <v/>
      </c>
      <c r="J109" s="171"/>
      <c r="K109" s="171"/>
      <c r="L109" s="172"/>
      <c r="M109" s="171"/>
      <c r="N109" s="172"/>
    </row>
    <row r="110" ht="15.75" customHeight="1">
      <c r="A110" s="170"/>
      <c r="B110" s="170"/>
      <c r="C110" s="170"/>
      <c r="D110" s="170"/>
      <c r="E110" s="170"/>
      <c r="F110" s="170" t="str">
        <f t="array" ref="F110">IFERROR(XLOOKUP(E110,'Indicadores Master'!$D$2:$D$65,'Indicadores Master'!$E$2:$E$65,""),"")</f>
        <v/>
      </c>
      <c r="G110" s="170" t="str">
        <f t="array" ref="G110">IFERROR(XLOOKUP(E110,'Indicadores Master'!$D$2:$D$65,'Indicadores Master'!$A$2:$A$65,""),"")</f>
        <v/>
      </c>
      <c r="H110" s="187" t="str">
        <f t="array" ref="H110">IFERROR(XLOOKUP(E110,'Indicadores Master'!$D$2:$D$65,'Indicadores Master'!$K$2:$K$65,""),"")</f>
        <v/>
      </c>
      <c r="I110" s="170" t="str">
        <f t="array" ref="I110">IFERROR(XLOOKUP(E110,'Indicadores Master'!$D$2:$D$65,'Indicadores Master'!$J$2:$J$65,""),"")</f>
        <v/>
      </c>
      <c r="J110" s="169"/>
      <c r="K110" s="169"/>
      <c r="L110" s="170"/>
      <c r="M110" s="169"/>
      <c r="N110" s="170"/>
    </row>
    <row r="111" ht="15.75" customHeight="1">
      <c r="A111" s="172"/>
      <c r="B111" s="172"/>
      <c r="C111" s="172"/>
      <c r="D111" s="172"/>
      <c r="E111" s="172"/>
      <c r="F111" s="172" t="str">
        <f t="array" ref="F111">IFERROR(XLOOKUP(E111,'Indicadores Master'!$D$2:$D$65,'Indicadores Master'!$E$2:$E$65,""),"")</f>
        <v/>
      </c>
      <c r="G111" s="172" t="str">
        <f t="array" ref="G111">IFERROR(XLOOKUP(E111,'Indicadores Master'!$D$2:$D$65,'Indicadores Master'!$A$2:$A$65,""),"")</f>
        <v/>
      </c>
      <c r="H111" s="188" t="str">
        <f t="array" ref="H111">IFERROR(XLOOKUP(E111,'Indicadores Master'!$D$2:$D$65,'Indicadores Master'!$K$2:$K$65,""),"")</f>
        <v/>
      </c>
      <c r="I111" s="172" t="str">
        <f t="array" ref="I111">IFERROR(XLOOKUP(E111,'Indicadores Master'!$D$2:$D$65,'Indicadores Master'!$J$2:$J$65,""),"")</f>
        <v/>
      </c>
      <c r="J111" s="171"/>
      <c r="K111" s="171"/>
      <c r="L111" s="172"/>
      <c r="M111" s="171"/>
      <c r="N111" s="172"/>
    </row>
    <row r="112" ht="15.75" customHeight="1">
      <c r="A112" s="170"/>
      <c r="B112" s="170"/>
      <c r="C112" s="170"/>
      <c r="D112" s="170"/>
      <c r="E112" s="170"/>
      <c r="F112" s="170" t="str">
        <f t="array" ref="F112">IFERROR(XLOOKUP(E112,'Indicadores Master'!$D$2:$D$65,'Indicadores Master'!$E$2:$E$65,""),"")</f>
        <v/>
      </c>
      <c r="G112" s="170" t="str">
        <f t="array" ref="G112">IFERROR(XLOOKUP(E112,'Indicadores Master'!$D$2:$D$65,'Indicadores Master'!$A$2:$A$65,""),"")</f>
        <v/>
      </c>
      <c r="H112" s="187" t="str">
        <f t="array" ref="H112">IFERROR(XLOOKUP(E112,'Indicadores Master'!$D$2:$D$65,'Indicadores Master'!$K$2:$K$65,""),"")</f>
        <v/>
      </c>
      <c r="I112" s="170" t="str">
        <f t="array" ref="I112">IFERROR(XLOOKUP(E112,'Indicadores Master'!$D$2:$D$65,'Indicadores Master'!$J$2:$J$65,""),"")</f>
        <v/>
      </c>
      <c r="J112" s="169"/>
      <c r="K112" s="169"/>
      <c r="L112" s="170"/>
      <c r="M112" s="169"/>
      <c r="N112" s="170"/>
    </row>
    <row r="113" ht="15.75" customHeight="1">
      <c r="A113" s="172"/>
      <c r="B113" s="172"/>
      <c r="C113" s="172"/>
      <c r="D113" s="172"/>
      <c r="E113" s="172"/>
      <c r="F113" s="172" t="str">
        <f t="array" ref="F113">IFERROR(XLOOKUP(E113,'Indicadores Master'!$D$2:$D$65,'Indicadores Master'!$E$2:$E$65,""),"")</f>
        <v/>
      </c>
      <c r="G113" s="172" t="str">
        <f t="array" ref="G113">IFERROR(XLOOKUP(E113,'Indicadores Master'!$D$2:$D$65,'Indicadores Master'!$A$2:$A$65,""),"")</f>
        <v/>
      </c>
      <c r="H113" s="188" t="str">
        <f t="array" ref="H113">IFERROR(XLOOKUP(E113,'Indicadores Master'!$D$2:$D$65,'Indicadores Master'!$K$2:$K$65,""),"")</f>
        <v/>
      </c>
      <c r="I113" s="172" t="str">
        <f t="array" ref="I113">IFERROR(XLOOKUP(E113,'Indicadores Master'!$D$2:$D$65,'Indicadores Master'!$J$2:$J$65,""),"")</f>
        <v/>
      </c>
      <c r="J113" s="171"/>
      <c r="K113" s="171"/>
      <c r="L113" s="172"/>
      <c r="M113" s="171"/>
      <c r="N113" s="172"/>
    </row>
    <row r="114" ht="15.75" customHeight="1">
      <c r="A114" s="170"/>
      <c r="B114" s="170"/>
      <c r="C114" s="170"/>
      <c r="D114" s="170"/>
      <c r="E114" s="170"/>
      <c r="F114" s="170" t="str">
        <f t="array" ref="F114">IFERROR(XLOOKUP(E114,'Indicadores Master'!$D$2:$D$65,'Indicadores Master'!$E$2:$E$65,""),"")</f>
        <v/>
      </c>
      <c r="G114" s="170" t="str">
        <f t="array" ref="G114">IFERROR(XLOOKUP(E114,'Indicadores Master'!$D$2:$D$65,'Indicadores Master'!$A$2:$A$65,""),"")</f>
        <v/>
      </c>
      <c r="H114" s="187" t="str">
        <f t="array" ref="H114">IFERROR(XLOOKUP(E114,'Indicadores Master'!$D$2:$D$65,'Indicadores Master'!$K$2:$K$65,""),"")</f>
        <v/>
      </c>
      <c r="I114" s="170" t="str">
        <f t="array" ref="I114">IFERROR(XLOOKUP(E114,'Indicadores Master'!$D$2:$D$65,'Indicadores Master'!$J$2:$J$65,""),"")</f>
        <v/>
      </c>
      <c r="J114" s="169"/>
      <c r="K114" s="169"/>
      <c r="L114" s="170"/>
      <c r="M114" s="169"/>
      <c r="N114" s="170"/>
    </row>
    <row r="115" ht="15.75" customHeight="1">
      <c r="A115" s="172"/>
      <c r="B115" s="172"/>
      <c r="C115" s="172"/>
      <c r="D115" s="172"/>
      <c r="E115" s="172"/>
      <c r="F115" s="172" t="str">
        <f t="array" ref="F115">IFERROR(XLOOKUP(E115,'Indicadores Master'!$D$2:$D$65,'Indicadores Master'!$E$2:$E$65,""),"")</f>
        <v/>
      </c>
      <c r="G115" s="172" t="str">
        <f t="array" ref="G115">IFERROR(XLOOKUP(E115,'Indicadores Master'!$D$2:$D$65,'Indicadores Master'!$A$2:$A$65,""),"")</f>
        <v/>
      </c>
      <c r="H115" s="188" t="str">
        <f t="array" ref="H115">IFERROR(XLOOKUP(E115,'Indicadores Master'!$D$2:$D$65,'Indicadores Master'!$K$2:$K$65,""),"")</f>
        <v/>
      </c>
      <c r="I115" s="172" t="str">
        <f t="array" ref="I115">IFERROR(XLOOKUP(E115,'Indicadores Master'!$D$2:$D$65,'Indicadores Master'!$J$2:$J$65,""),"")</f>
        <v/>
      </c>
      <c r="J115" s="171"/>
      <c r="K115" s="171"/>
      <c r="L115" s="172"/>
      <c r="M115" s="171"/>
      <c r="N115" s="172"/>
    </row>
    <row r="116" ht="15.75" customHeight="1">
      <c r="A116" s="170"/>
      <c r="B116" s="170"/>
      <c r="C116" s="170"/>
      <c r="D116" s="170"/>
      <c r="E116" s="170"/>
      <c r="F116" s="170" t="str">
        <f t="array" ref="F116">IFERROR(XLOOKUP(E116,'Indicadores Master'!$D$2:$D$65,'Indicadores Master'!$E$2:$E$65,""),"")</f>
        <v/>
      </c>
      <c r="G116" s="170" t="str">
        <f t="array" ref="G116">IFERROR(XLOOKUP(E116,'Indicadores Master'!$D$2:$D$65,'Indicadores Master'!$A$2:$A$65,""),"")</f>
        <v/>
      </c>
      <c r="H116" s="187" t="str">
        <f t="array" ref="H116">IFERROR(XLOOKUP(E116,'Indicadores Master'!$D$2:$D$65,'Indicadores Master'!$K$2:$K$65,""),"")</f>
        <v/>
      </c>
      <c r="I116" s="170" t="str">
        <f t="array" ref="I116">IFERROR(XLOOKUP(E116,'Indicadores Master'!$D$2:$D$65,'Indicadores Master'!$J$2:$J$65,""),"")</f>
        <v/>
      </c>
      <c r="J116" s="169"/>
      <c r="K116" s="169"/>
      <c r="L116" s="170"/>
      <c r="M116" s="169"/>
      <c r="N116" s="170"/>
    </row>
    <row r="117" ht="15.75" customHeight="1">
      <c r="A117" s="172"/>
      <c r="B117" s="172"/>
      <c r="C117" s="172"/>
      <c r="D117" s="172"/>
      <c r="E117" s="172"/>
      <c r="F117" s="172" t="str">
        <f t="array" ref="F117">IFERROR(XLOOKUP(E117,'Indicadores Master'!$D$2:$D$65,'Indicadores Master'!$E$2:$E$65,""),"")</f>
        <v/>
      </c>
      <c r="G117" s="172" t="str">
        <f t="array" ref="G117">IFERROR(XLOOKUP(E117,'Indicadores Master'!$D$2:$D$65,'Indicadores Master'!$A$2:$A$65,""),"")</f>
        <v/>
      </c>
      <c r="H117" s="188" t="str">
        <f t="array" ref="H117">IFERROR(XLOOKUP(E117,'Indicadores Master'!$D$2:$D$65,'Indicadores Master'!$K$2:$K$65,""),"")</f>
        <v/>
      </c>
      <c r="I117" s="172" t="str">
        <f t="array" ref="I117">IFERROR(XLOOKUP(E117,'Indicadores Master'!$D$2:$D$65,'Indicadores Master'!$J$2:$J$65,""),"")</f>
        <v/>
      </c>
      <c r="J117" s="171"/>
      <c r="K117" s="171"/>
      <c r="L117" s="172"/>
      <c r="M117" s="171"/>
      <c r="N117" s="172"/>
    </row>
    <row r="118" ht="15.75" customHeight="1">
      <c r="A118" s="170"/>
      <c r="B118" s="170"/>
      <c r="C118" s="170"/>
      <c r="D118" s="170"/>
      <c r="E118" s="170"/>
      <c r="F118" s="170" t="str">
        <f t="array" ref="F118">IFERROR(XLOOKUP(E118,'Indicadores Master'!$D$2:$D$65,'Indicadores Master'!$E$2:$E$65,""),"")</f>
        <v/>
      </c>
      <c r="G118" s="170" t="str">
        <f t="array" ref="G118">IFERROR(XLOOKUP(E118,'Indicadores Master'!$D$2:$D$65,'Indicadores Master'!$A$2:$A$65,""),"")</f>
        <v/>
      </c>
      <c r="H118" s="187" t="str">
        <f t="array" ref="H118">IFERROR(XLOOKUP(E118,'Indicadores Master'!$D$2:$D$65,'Indicadores Master'!$K$2:$K$65,""),"")</f>
        <v/>
      </c>
      <c r="I118" s="170" t="str">
        <f t="array" ref="I118">IFERROR(XLOOKUP(E118,'Indicadores Master'!$D$2:$D$65,'Indicadores Master'!$J$2:$J$65,""),"")</f>
        <v/>
      </c>
      <c r="J118" s="169"/>
      <c r="K118" s="169"/>
      <c r="L118" s="170"/>
      <c r="M118" s="169"/>
      <c r="N118" s="170"/>
    </row>
    <row r="119" ht="15.75" customHeight="1">
      <c r="A119" s="172"/>
      <c r="B119" s="172"/>
      <c r="C119" s="172"/>
      <c r="D119" s="172"/>
      <c r="E119" s="172"/>
      <c r="F119" s="172" t="str">
        <f t="array" ref="F119">IFERROR(XLOOKUP(E119,'Indicadores Master'!$D$2:$D$65,'Indicadores Master'!$E$2:$E$65,""),"")</f>
        <v/>
      </c>
      <c r="G119" s="172" t="str">
        <f t="array" ref="G119">IFERROR(XLOOKUP(E119,'Indicadores Master'!$D$2:$D$65,'Indicadores Master'!$A$2:$A$65,""),"")</f>
        <v/>
      </c>
      <c r="H119" s="188" t="str">
        <f t="array" ref="H119">IFERROR(XLOOKUP(E119,'Indicadores Master'!$D$2:$D$65,'Indicadores Master'!$K$2:$K$65,""),"")</f>
        <v/>
      </c>
      <c r="I119" s="172" t="str">
        <f t="array" ref="I119">IFERROR(XLOOKUP(E119,'Indicadores Master'!$D$2:$D$65,'Indicadores Master'!$J$2:$J$65,""),"")</f>
        <v/>
      </c>
      <c r="J119" s="171"/>
      <c r="K119" s="171"/>
      <c r="L119" s="172"/>
      <c r="M119" s="171"/>
      <c r="N119" s="172"/>
    </row>
    <row r="120" ht="15.75" customHeight="1">
      <c r="A120" s="170"/>
      <c r="B120" s="170"/>
      <c r="C120" s="170"/>
      <c r="D120" s="170"/>
      <c r="E120" s="170"/>
      <c r="F120" s="170" t="str">
        <f t="array" ref="F120">IFERROR(XLOOKUP(E120,'Indicadores Master'!$D$2:$D$65,'Indicadores Master'!$E$2:$E$65,""),"")</f>
        <v/>
      </c>
      <c r="G120" s="170" t="str">
        <f t="array" ref="G120">IFERROR(XLOOKUP(E120,'Indicadores Master'!$D$2:$D$65,'Indicadores Master'!$A$2:$A$65,""),"")</f>
        <v/>
      </c>
      <c r="H120" s="187" t="str">
        <f t="array" ref="H120">IFERROR(XLOOKUP(E120,'Indicadores Master'!$D$2:$D$65,'Indicadores Master'!$K$2:$K$65,""),"")</f>
        <v/>
      </c>
      <c r="I120" s="170" t="str">
        <f t="array" ref="I120">IFERROR(XLOOKUP(E120,'Indicadores Master'!$D$2:$D$65,'Indicadores Master'!$J$2:$J$65,""),"")</f>
        <v/>
      </c>
      <c r="J120" s="169"/>
      <c r="K120" s="169"/>
      <c r="L120" s="170"/>
      <c r="M120" s="169"/>
      <c r="N120" s="170"/>
    </row>
    <row r="121" ht="15.75" customHeight="1">
      <c r="A121" s="172"/>
      <c r="B121" s="172"/>
      <c r="C121" s="172"/>
      <c r="D121" s="172"/>
      <c r="E121" s="172"/>
      <c r="F121" s="172" t="str">
        <f t="array" ref="F121">IFERROR(XLOOKUP(E121,'Indicadores Master'!$D$2:$D$65,'Indicadores Master'!$E$2:$E$65,""),"")</f>
        <v/>
      </c>
      <c r="G121" s="172" t="str">
        <f t="array" ref="G121">IFERROR(XLOOKUP(E121,'Indicadores Master'!$D$2:$D$65,'Indicadores Master'!$A$2:$A$65,""),"")</f>
        <v/>
      </c>
      <c r="H121" s="188" t="str">
        <f t="array" ref="H121">IFERROR(XLOOKUP(E121,'Indicadores Master'!$D$2:$D$65,'Indicadores Master'!$K$2:$K$65,""),"")</f>
        <v/>
      </c>
      <c r="I121" s="172" t="str">
        <f t="array" ref="I121">IFERROR(XLOOKUP(E121,'Indicadores Master'!$D$2:$D$65,'Indicadores Master'!$J$2:$J$65,""),"")</f>
        <v/>
      </c>
      <c r="J121" s="171"/>
      <c r="K121" s="171"/>
      <c r="L121" s="172"/>
      <c r="M121" s="171"/>
      <c r="N121" s="172"/>
    </row>
    <row r="122" ht="15.75" customHeight="1">
      <c r="A122" s="170"/>
      <c r="B122" s="170"/>
      <c r="C122" s="170"/>
      <c r="D122" s="170"/>
      <c r="E122" s="170"/>
      <c r="F122" s="170" t="str">
        <f t="array" ref="F122">IFERROR(XLOOKUP(E122,'Indicadores Master'!$D$2:$D$65,'Indicadores Master'!$E$2:$E$65,""),"")</f>
        <v/>
      </c>
      <c r="G122" s="170" t="str">
        <f t="array" ref="G122">IFERROR(XLOOKUP(E122,'Indicadores Master'!$D$2:$D$65,'Indicadores Master'!$A$2:$A$65,""),"")</f>
        <v/>
      </c>
      <c r="H122" s="187" t="str">
        <f t="array" ref="H122">IFERROR(XLOOKUP(E122,'Indicadores Master'!$D$2:$D$65,'Indicadores Master'!$K$2:$K$65,""),"")</f>
        <v/>
      </c>
      <c r="I122" s="170" t="str">
        <f t="array" ref="I122">IFERROR(XLOOKUP(E122,'Indicadores Master'!$D$2:$D$65,'Indicadores Master'!$J$2:$J$65,""),"")</f>
        <v/>
      </c>
      <c r="J122" s="169"/>
      <c r="K122" s="169"/>
      <c r="L122" s="170"/>
      <c r="M122" s="169"/>
      <c r="N122" s="170"/>
    </row>
    <row r="123" ht="15.75" customHeight="1">
      <c r="A123" s="172"/>
      <c r="B123" s="172"/>
      <c r="C123" s="172"/>
      <c r="D123" s="172"/>
      <c r="E123" s="172"/>
      <c r="F123" s="172" t="str">
        <f t="array" ref="F123">IFERROR(XLOOKUP(E123,'Indicadores Master'!$D$2:$D$65,'Indicadores Master'!$E$2:$E$65,""),"")</f>
        <v/>
      </c>
      <c r="G123" s="172" t="str">
        <f t="array" ref="G123">IFERROR(XLOOKUP(E123,'Indicadores Master'!$D$2:$D$65,'Indicadores Master'!$A$2:$A$65,""),"")</f>
        <v/>
      </c>
      <c r="H123" s="188" t="str">
        <f t="array" ref="H123">IFERROR(XLOOKUP(E123,'Indicadores Master'!$D$2:$D$65,'Indicadores Master'!$K$2:$K$65,""),"")</f>
        <v/>
      </c>
      <c r="I123" s="172" t="str">
        <f t="array" ref="I123">IFERROR(XLOOKUP(E123,'Indicadores Master'!$D$2:$D$65,'Indicadores Master'!$J$2:$J$65,""),"")</f>
        <v/>
      </c>
      <c r="J123" s="171"/>
      <c r="K123" s="171"/>
      <c r="L123" s="172"/>
      <c r="M123" s="171"/>
      <c r="N123" s="172"/>
    </row>
    <row r="124" ht="15.75" customHeight="1">
      <c r="A124" s="170"/>
      <c r="B124" s="170"/>
      <c r="C124" s="170"/>
      <c r="D124" s="170"/>
      <c r="E124" s="170"/>
      <c r="F124" s="170" t="str">
        <f t="array" ref="F124">IFERROR(XLOOKUP(E124,'Indicadores Master'!$D$2:$D$65,'Indicadores Master'!$E$2:$E$65,""),"")</f>
        <v/>
      </c>
      <c r="G124" s="170" t="str">
        <f t="array" ref="G124">IFERROR(XLOOKUP(E124,'Indicadores Master'!$D$2:$D$65,'Indicadores Master'!$A$2:$A$65,""),"")</f>
        <v/>
      </c>
      <c r="H124" s="187" t="str">
        <f t="array" ref="H124">IFERROR(XLOOKUP(E124,'Indicadores Master'!$D$2:$D$65,'Indicadores Master'!$K$2:$K$65,""),"")</f>
        <v/>
      </c>
      <c r="I124" s="170" t="str">
        <f t="array" ref="I124">IFERROR(XLOOKUP(E124,'Indicadores Master'!$D$2:$D$65,'Indicadores Master'!$J$2:$J$65,""),"")</f>
        <v/>
      </c>
      <c r="J124" s="169"/>
      <c r="K124" s="169"/>
      <c r="L124" s="170"/>
      <c r="M124" s="169"/>
      <c r="N124" s="170"/>
    </row>
    <row r="125" ht="15.75" customHeight="1">
      <c r="A125" s="172"/>
      <c r="B125" s="172"/>
      <c r="C125" s="172"/>
      <c r="D125" s="172"/>
      <c r="E125" s="172"/>
      <c r="F125" s="172" t="str">
        <f t="array" ref="F125">IFERROR(XLOOKUP(E125,'Indicadores Master'!$D$2:$D$65,'Indicadores Master'!$E$2:$E$65,""),"")</f>
        <v/>
      </c>
      <c r="G125" s="172" t="str">
        <f t="array" ref="G125">IFERROR(XLOOKUP(E125,'Indicadores Master'!$D$2:$D$65,'Indicadores Master'!$A$2:$A$65,""),"")</f>
        <v/>
      </c>
      <c r="H125" s="188" t="str">
        <f t="array" ref="H125">IFERROR(XLOOKUP(E125,'Indicadores Master'!$D$2:$D$65,'Indicadores Master'!$K$2:$K$65,""),"")</f>
        <v/>
      </c>
      <c r="I125" s="172" t="str">
        <f t="array" ref="I125">IFERROR(XLOOKUP(E125,'Indicadores Master'!$D$2:$D$65,'Indicadores Master'!$J$2:$J$65,""),"")</f>
        <v/>
      </c>
      <c r="J125" s="171"/>
      <c r="K125" s="171"/>
      <c r="L125" s="172"/>
      <c r="M125" s="171"/>
      <c r="N125" s="172"/>
    </row>
    <row r="126" ht="15.75" customHeight="1">
      <c r="A126" s="170"/>
      <c r="B126" s="170"/>
      <c r="C126" s="170"/>
      <c r="D126" s="170"/>
      <c r="E126" s="170"/>
      <c r="F126" s="170" t="str">
        <f t="array" ref="F126">IFERROR(XLOOKUP(E126,'Indicadores Master'!$D$2:$D$65,'Indicadores Master'!$E$2:$E$65,""),"")</f>
        <v/>
      </c>
      <c r="G126" s="170" t="str">
        <f t="array" ref="G126">IFERROR(XLOOKUP(E126,'Indicadores Master'!$D$2:$D$65,'Indicadores Master'!$A$2:$A$65,""),"")</f>
        <v/>
      </c>
      <c r="H126" s="187" t="str">
        <f t="array" ref="H126">IFERROR(XLOOKUP(E126,'Indicadores Master'!$D$2:$D$65,'Indicadores Master'!$K$2:$K$65,""),"")</f>
        <v/>
      </c>
      <c r="I126" s="170" t="str">
        <f t="array" ref="I126">IFERROR(XLOOKUP(E126,'Indicadores Master'!$D$2:$D$65,'Indicadores Master'!$J$2:$J$65,""),"")</f>
        <v/>
      </c>
      <c r="J126" s="169"/>
      <c r="K126" s="169"/>
      <c r="L126" s="170"/>
      <c r="M126" s="169"/>
      <c r="N126" s="170"/>
    </row>
    <row r="127" ht="15.75" customHeight="1">
      <c r="A127" s="172"/>
      <c r="B127" s="172"/>
      <c r="C127" s="172"/>
      <c r="D127" s="172"/>
      <c r="E127" s="172"/>
      <c r="F127" s="172" t="str">
        <f t="array" ref="F127">IFERROR(XLOOKUP(E127,'Indicadores Master'!$D$2:$D$65,'Indicadores Master'!$E$2:$E$65,""),"")</f>
        <v/>
      </c>
      <c r="G127" s="172" t="str">
        <f t="array" ref="G127">IFERROR(XLOOKUP(E127,'Indicadores Master'!$D$2:$D$65,'Indicadores Master'!$A$2:$A$65,""),"")</f>
        <v/>
      </c>
      <c r="H127" s="188" t="str">
        <f t="array" ref="H127">IFERROR(XLOOKUP(E127,'Indicadores Master'!$D$2:$D$65,'Indicadores Master'!$K$2:$K$65,""),"")</f>
        <v/>
      </c>
      <c r="I127" s="172" t="str">
        <f t="array" ref="I127">IFERROR(XLOOKUP(E127,'Indicadores Master'!$D$2:$D$65,'Indicadores Master'!$J$2:$J$65,""),"")</f>
        <v/>
      </c>
      <c r="J127" s="171"/>
      <c r="K127" s="171"/>
      <c r="L127" s="172"/>
      <c r="M127" s="171"/>
      <c r="N127" s="172"/>
    </row>
    <row r="128" ht="15.75" customHeight="1">
      <c r="A128" s="170"/>
      <c r="B128" s="170"/>
      <c r="C128" s="170"/>
      <c r="D128" s="170"/>
      <c r="E128" s="170"/>
      <c r="F128" s="170" t="str">
        <f t="array" ref="F128">IFERROR(XLOOKUP(E128,'Indicadores Master'!$D$2:$D$65,'Indicadores Master'!$E$2:$E$65,""),"")</f>
        <v/>
      </c>
      <c r="G128" s="170" t="str">
        <f t="array" ref="G128">IFERROR(XLOOKUP(E128,'Indicadores Master'!$D$2:$D$65,'Indicadores Master'!$A$2:$A$65,""),"")</f>
        <v/>
      </c>
      <c r="H128" s="187" t="str">
        <f t="array" ref="H128">IFERROR(XLOOKUP(E128,'Indicadores Master'!$D$2:$D$65,'Indicadores Master'!$K$2:$K$65,""),"")</f>
        <v/>
      </c>
      <c r="I128" s="170" t="str">
        <f t="array" ref="I128">IFERROR(XLOOKUP(E128,'Indicadores Master'!$D$2:$D$65,'Indicadores Master'!$J$2:$J$65,""),"")</f>
        <v/>
      </c>
      <c r="J128" s="169"/>
      <c r="K128" s="169"/>
      <c r="L128" s="170"/>
      <c r="M128" s="169"/>
      <c r="N128" s="170"/>
    </row>
    <row r="129" ht="15.75" customHeight="1">
      <c r="A129" s="172"/>
      <c r="B129" s="172"/>
      <c r="C129" s="172"/>
      <c r="D129" s="172"/>
      <c r="E129" s="172"/>
      <c r="F129" s="172" t="str">
        <f t="array" ref="F129">IFERROR(XLOOKUP(E129,'Indicadores Master'!$D$2:$D$65,'Indicadores Master'!$E$2:$E$65,""),"")</f>
        <v/>
      </c>
      <c r="G129" s="172" t="str">
        <f t="array" ref="G129">IFERROR(XLOOKUP(E129,'Indicadores Master'!$D$2:$D$65,'Indicadores Master'!$A$2:$A$65,""),"")</f>
        <v/>
      </c>
      <c r="H129" s="188" t="str">
        <f t="array" ref="H129">IFERROR(XLOOKUP(E129,'Indicadores Master'!$D$2:$D$65,'Indicadores Master'!$K$2:$K$65,""),"")</f>
        <v/>
      </c>
      <c r="I129" s="172" t="str">
        <f t="array" ref="I129">IFERROR(XLOOKUP(E129,'Indicadores Master'!$D$2:$D$65,'Indicadores Master'!$J$2:$J$65,""),"")</f>
        <v/>
      </c>
      <c r="J129" s="171"/>
      <c r="K129" s="171"/>
      <c r="L129" s="172"/>
      <c r="M129" s="171"/>
      <c r="N129" s="172"/>
    </row>
    <row r="130" ht="15.75" customHeight="1">
      <c r="A130" s="170"/>
      <c r="B130" s="170"/>
      <c r="C130" s="170"/>
      <c r="D130" s="170"/>
      <c r="E130" s="170"/>
      <c r="F130" s="170" t="str">
        <f t="array" ref="F130">IFERROR(XLOOKUP(E130,'Indicadores Master'!$D$2:$D$65,'Indicadores Master'!$E$2:$E$65,""),"")</f>
        <v/>
      </c>
      <c r="G130" s="170" t="str">
        <f t="array" ref="G130">IFERROR(XLOOKUP(E130,'Indicadores Master'!$D$2:$D$65,'Indicadores Master'!$A$2:$A$65,""),"")</f>
        <v/>
      </c>
      <c r="H130" s="187" t="str">
        <f t="array" ref="H130">IFERROR(XLOOKUP(E130,'Indicadores Master'!$D$2:$D$65,'Indicadores Master'!$K$2:$K$65,""),"")</f>
        <v/>
      </c>
      <c r="I130" s="170" t="str">
        <f t="array" ref="I130">IFERROR(XLOOKUP(E130,'Indicadores Master'!$D$2:$D$65,'Indicadores Master'!$J$2:$J$65,""),"")</f>
        <v/>
      </c>
      <c r="J130" s="169"/>
      <c r="K130" s="169"/>
      <c r="L130" s="170"/>
      <c r="M130" s="169"/>
      <c r="N130" s="170"/>
    </row>
    <row r="131" ht="15.75" customHeight="1">
      <c r="A131" s="172"/>
      <c r="B131" s="172"/>
      <c r="C131" s="172"/>
      <c r="D131" s="172"/>
      <c r="E131" s="172"/>
      <c r="F131" s="172" t="str">
        <f t="array" ref="F131">IFERROR(XLOOKUP(E131,'Indicadores Master'!$D$2:$D$65,'Indicadores Master'!$E$2:$E$65,""),"")</f>
        <v/>
      </c>
      <c r="G131" s="172" t="str">
        <f t="array" ref="G131">IFERROR(XLOOKUP(E131,'Indicadores Master'!$D$2:$D$65,'Indicadores Master'!$A$2:$A$65,""),"")</f>
        <v/>
      </c>
      <c r="H131" s="188" t="str">
        <f t="array" ref="H131">IFERROR(XLOOKUP(E131,'Indicadores Master'!$D$2:$D$65,'Indicadores Master'!$K$2:$K$65,""),"")</f>
        <v/>
      </c>
      <c r="I131" s="172" t="str">
        <f t="array" ref="I131">IFERROR(XLOOKUP(E131,'Indicadores Master'!$D$2:$D$65,'Indicadores Master'!$J$2:$J$65,""),"")</f>
        <v/>
      </c>
      <c r="J131" s="171"/>
      <c r="K131" s="171"/>
      <c r="L131" s="172"/>
      <c r="M131" s="171"/>
      <c r="N131" s="172"/>
    </row>
    <row r="132" ht="15.75" customHeight="1">
      <c r="A132" s="170"/>
      <c r="B132" s="170"/>
      <c r="C132" s="170"/>
      <c r="D132" s="170"/>
      <c r="E132" s="170"/>
      <c r="F132" s="170" t="str">
        <f t="array" ref="F132">IFERROR(XLOOKUP(E132,'Indicadores Master'!$D$2:$D$65,'Indicadores Master'!$E$2:$E$65,""),"")</f>
        <v/>
      </c>
      <c r="G132" s="170" t="str">
        <f t="array" ref="G132">IFERROR(XLOOKUP(E132,'Indicadores Master'!$D$2:$D$65,'Indicadores Master'!$A$2:$A$65,""),"")</f>
        <v/>
      </c>
      <c r="H132" s="187" t="str">
        <f t="array" ref="H132">IFERROR(XLOOKUP(E132,'Indicadores Master'!$D$2:$D$65,'Indicadores Master'!$K$2:$K$65,""),"")</f>
        <v/>
      </c>
      <c r="I132" s="170" t="str">
        <f t="array" ref="I132">IFERROR(XLOOKUP(E132,'Indicadores Master'!$D$2:$D$65,'Indicadores Master'!$J$2:$J$65,""),"")</f>
        <v/>
      </c>
      <c r="J132" s="169"/>
      <c r="K132" s="169"/>
      <c r="L132" s="170"/>
      <c r="M132" s="169"/>
      <c r="N132" s="170"/>
    </row>
    <row r="133" ht="15.75" customHeight="1">
      <c r="A133" s="172"/>
      <c r="B133" s="172"/>
      <c r="C133" s="172"/>
      <c r="D133" s="172"/>
      <c r="E133" s="172"/>
      <c r="F133" s="172" t="str">
        <f t="array" ref="F133">IFERROR(XLOOKUP(E133,'Indicadores Master'!$D$2:$D$65,'Indicadores Master'!$E$2:$E$65,""),"")</f>
        <v/>
      </c>
      <c r="G133" s="172" t="str">
        <f t="array" ref="G133">IFERROR(XLOOKUP(E133,'Indicadores Master'!$D$2:$D$65,'Indicadores Master'!$A$2:$A$65,""),"")</f>
        <v/>
      </c>
      <c r="H133" s="188" t="str">
        <f t="array" ref="H133">IFERROR(XLOOKUP(E133,'Indicadores Master'!$D$2:$D$65,'Indicadores Master'!$K$2:$K$65,""),"")</f>
        <v/>
      </c>
      <c r="I133" s="172" t="str">
        <f t="array" ref="I133">IFERROR(XLOOKUP(E133,'Indicadores Master'!$D$2:$D$65,'Indicadores Master'!$J$2:$J$65,""),"")</f>
        <v/>
      </c>
      <c r="J133" s="171"/>
      <c r="K133" s="171"/>
      <c r="L133" s="172"/>
      <c r="M133" s="171"/>
      <c r="N133" s="172"/>
    </row>
    <row r="134" ht="15.75" customHeight="1">
      <c r="A134" s="170"/>
      <c r="B134" s="170"/>
      <c r="C134" s="170"/>
      <c r="D134" s="170"/>
      <c r="E134" s="170"/>
      <c r="F134" s="170" t="str">
        <f t="array" ref="F134">IFERROR(XLOOKUP(E134,'Indicadores Master'!$D$2:$D$65,'Indicadores Master'!$E$2:$E$65,""),"")</f>
        <v/>
      </c>
      <c r="G134" s="170" t="str">
        <f t="array" ref="G134">IFERROR(XLOOKUP(E134,'Indicadores Master'!$D$2:$D$65,'Indicadores Master'!$A$2:$A$65,""),"")</f>
        <v/>
      </c>
      <c r="H134" s="187" t="str">
        <f t="array" ref="H134">IFERROR(XLOOKUP(E134,'Indicadores Master'!$D$2:$D$65,'Indicadores Master'!$K$2:$K$65,""),"")</f>
        <v/>
      </c>
      <c r="I134" s="170" t="str">
        <f t="array" ref="I134">IFERROR(XLOOKUP(E134,'Indicadores Master'!$D$2:$D$65,'Indicadores Master'!$J$2:$J$65,""),"")</f>
        <v/>
      </c>
      <c r="J134" s="169"/>
      <c r="K134" s="169"/>
      <c r="L134" s="170"/>
      <c r="M134" s="169"/>
      <c r="N134" s="170"/>
    </row>
    <row r="135" ht="15.75" customHeight="1">
      <c r="A135" s="172"/>
      <c r="B135" s="172"/>
      <c r="C135" s="172"/>
      <c r="D135" s="172"/>
      <c r="E135" s="172"/>
      <c r="F135" s="172" t="str">
        <f t="array" ref="F135">IFERROR(XLOOKUP(E135,'Indicadores Master'!$D$2:$D$65,'Indicadores Master'!$E$2:$E$65,""),"")</f>
        <v/>
      </c>
      <c r="G135" s="172" t="str">
        <f t="array" ref="G135">IFERROR(XLOOKUP(E135,'Indicadores Master'!$D$2:$D$65,'Indicadores Master'!$A$2:$A$65,""),"")</f>
        <v/>
      </c>
      <c r="H135" s="188" t="str">
        <f t="array" ref="H135">IFERROR(XLOOKUP(E135,'Indicadores Master'!$D$2:$D$65,'Indicadores Master'!$K$2:$K$65,""),"")</f>
        <v/>
      </c>
      <c r="I135" s="172" t="str">
        <f t="array" ref="I135">IFERROR(XLOOKUP(E135,'Indicadores Master'!$D$2:$D$65,'Indicadores Master'!$J$2:$J$65,""),"")</f>
        <v/>
      </c>
      <c r="J135" s="171"/>
      <c r="K135" s="171"/>
      <c r="L135" s="172"/>
      <c r="M135" s="171"/>
      <c r="N135" s="172"/>
    </row>
    <row r="136" ht="15.75" customHeight="1">
      <c r="A136" s="170"/>
      <c r="B136" s="170"/>
      <c r="C136" s="170"/>
      <c r="D136" s="170"/>
      <c r="E136" s="170"/>
      <c r="F136" s="170" t="str">
        <f t="array" ref="F136">IFERROR(XLOOKUP(E136,'Indicadores Master'!$D$2:$D$65,'Indicadores Master'!$E$2:$E$65,""),"")</f>
        <v/>
      </c>
      <c r="G136" s="170" t="str">
        <f t="array" ref="G136">IFERROR(XLOOKUP(E136,'Indicadores Master'!$D$2:$D$65,'Indicadores Master'!$A$2:$A$65,""),"")</f>
        <v/>
      </c>
      <c r="H136" s="187" t="str">
        <f t="array" ref="H136">IFERROR(XLOOKUP(E136,'Indicadores Master'!$D$2:$D$65,'Indicadores Master'!$K$2:$K$65,""),"")</f>
        <v/>
      </c>
      <c r="I136" s="170" t="str">
        <f t="array" ref="I136">IFERROR(XLOOKUP(E136,'Indicadores Master'!$D$2:$D$65,'Indicadores Master'!$J$2:$J$65,""),"")</f>
        <v/>
      </c>
      <c r="J136" s="169"/>
      <c r="K136" s="169"/>
      <c r="L136" s="170"/>
      <c r="M136" s="169"/>
      <c r="N136" s="170"/>
    </row>
    <row r="137" ht="15.75" customHeight="1">
      <c r="A137" s="172"/>
      <c r="B137" s="172"/>
      <c r="C137" s="172"/>
      <c r="D137" s="172"/>
      <c r="E137" s="172"/>
      <c r="F137" s="172" t="str">
        <f t="array" ref="F137">IFERROR(XLOOKUP(E137,'Indicadores Master'!$D$2:$D$65,'Indicadores Master'!$E$2:$E$65,""),"")</f>
        <v/>
      </c>
      <c r="G137" s="172" t="str">
        <f t="array" ref="G137">IFERROR(XLOOKUP(E137,'Indicadores Master'!$D$2:$D$65,'Indicadores Master'!$A$2:$A$65,""),"")</f>
        <v/>
      </c>
      <c r="H137" s="188" t="str">
        <f t="array" ref="H137">IFERROR(XLOOKUP(E137,'Indicadores Master'!$D$2:$D$65,'Indicadores Master'!$K$2:$K$65,""),"")</f>
        <v/>
      </c>
      <c r="I137" s="172" t="str">
        <f t="array" ref="I137">IFERROR(XLOOKUP(E137,'Indicadores Master'!$D$2:$D$65,'Indicadores Master'!$J$2:$J$65,""),"")</f>
        <v/>
      </c>
      <c r="J137" s="171"/>
      <c r="K137" s="171"/>
      <c r="L137" s="172"/>
      <c r="M137" s="171"/>
      <c r="N137" s="172"/>
    </row>
    <row r="138" ht="15.75" customHeight="1">
      <c r="A138" s="170"/>
      <c r="B138" s="170"/>
      <c r="C138" s="170"/>
      <c r="D138" s="170"/>
      <c r="E138" s="170"/>
      <c r="F138" s="170" t="str">
        <f t="array" ref="F138">IFERROR(XLOOKUP(E138,'Indicadores Master'!$D$2:$D$65,'Indicadores Master'!$E$2:$E$65,""),"")</f>
        <v/>
      </c>
      <c r="G138" s="170" t="str">
        <f t="array" ref="G138">IFERROR(XLOOKUP(E138,'Indicadores Master'!$D$2:$D$65,'Indicadores Master'!$A$2:$A$65,""),"")</f>
        <v/>
      </c>
      <c r="H138" s="187" t="str">
        <f t="array" ref="H138">IFERROR(XLOOKUP(E138,'Indicadores Master'!$D$2:$D$65,'Indicadores Master'!$K$2:$K$65,""),"")</f>
        <v/>
      </c>
      <c r="I138" s="170" t="str">
        <f t="array" ref="I138">IFERROR(XLOOKUP(E138,'Indicadores Master'!$D$2:$D$65,'Indicadores Master'!$J$2:$J$65,""),"")</f>
        <v/>
      </c>
      <c r="J138" s="169"/>
      <c r="K138" s="169"/>
      <c r="L138" s="170"/>
      <c r="M138" s="169"/>
      <c r="N138" s="170"/>
    </row>
    <row r="139" ht="15.75" customHeight="1">
      <c r="A139" s="172"/>
      <c r="B139" s="172"/>
      <c r="C139" s="172"/>
      <c r="D139" s="172"/>
      <c r="E139" s="172"/>
      <c r="F139" s="172" t="str">
        <f t="array" ref="F139">IFERROR(XLOOKUP(E139,'Indicadores Master'!$D$2:$D$65,'Indicadores Master'!$E$2:$E$65,""),"")</f>
        <v/>
      </c>
      <c r="G139" s="172" t="str">
        <f t="array" ref="G139">IFERROR(XLOOKUP(E139,'Indicadores Master'!$D$2:$D$65,'Indicadores Master'!$A$2:$A$65,""),"")</f>
        <v/>
      </c>
      <c r="H139" s="188" t="str">
        <f t="array" ref="H139">IFERROR(XLOOKUP(E139,'Indicadores Master'!$D$2:$D$65,'Indicadores Master'!$K$2:$K$65,""),"")</f>
        <v/>
      </c>
      <c r="I139" s="172" t="str">
        <f t="array" ref="I139">IFERROR(XLOOKUP(E139,'Indicadores Master'!$D$2:$D$65,'Indicadores Master'!$J$2:$J$65,""),"")</f>
        <v/>
      </c>
      <c r="J139" s="171"/>
      <c r="K139" s="171"/>
      <c r="L139" s="172"/>
      <c r="M139" s="171"/>
      <c r="N139" s="172"/>
    </row>
    <row r="140" ht="15.75" customHeight="1">
      <c r="A140" s="170"/>
      <c r="B140" s="170"/>
      <c r="C140" s="170"/>
      <c r="D140" s="170"/>
      <c r="E140" s="170"/>
      <c r="F140" s="170" t="str">
        <f t="array" ref="F140">IFERROR(XLOOKUP(E140,'Indicadores Master'!$D$2:$D$65,'Indicadores Master'!$E$2:$E$65,""),"")</f>
        <v/>
      </c>
      <c r="G140" s="170" t="str">
        <f t="array" ref="G140">IFERROR(XLOOKUP(E140,'Indicadores Master'!$D$2:$D$65,'Indicadores Master'!$A$2:$A$65,""),"")</f>
        <v/>
      </c>
      <c r="H140" s="187" t="str">
        <f t="array" ref="H140">IFERROR(XLOOKUP(E140,'Indicadores Master'!$D$2:$D$65,'Indicadores Master'!$K$2:$K$65,""),"")</f>
        <v/>
      </c>
      <c r="I140" s="170" t="str">
        <f t="array" ref="I140">IFERROR(XLOOKUP(E140,'Indicadores Master'!$D$2:$D$65,'Indicadores Master'!$J$2:$J$65,""),"")</f>
        <v/>
      </c>
      <c r="J140" s="169"/>
      <c r="K140" s="169"/>
      <c r="L140" s="170"/>
      <c r="M140" s="169"/>
      <c r="N140" s="170"/>
    </row>
    <row r="141" ht="15.75" customHeight="1">
      <c r="A141" s="172"/>
      <c r="B141" s="172"/>
      <c r="C141" s="172"/>
      <c r="D141" s="172"/>
      <c r="E141" s="172"/>
      <c r="F141" s="172" t="str">
        <f t="array" ref="F141">IFERROR(XLOOKUP(E141,'Indicadores Master'!$D$2:$D$65,'Indicadores Master'!$E$2:$E$65,""),"")</f>
        <v/>
      </c>
      <c r="G141" s="172" t="str">
        <f t="array" ref="G141">IFERROR(XLOOKUP(E141,'Indicadores Master'!$D$2:$D$65,'Indicadores Master'!$A$2:$A$65,""),"")</f>
        <v/>
      </c>
      <c r="H141" s="188" t="str">
        <f t="array" ref="H141">IFERROR(XLOOKUP(E141,'Indicadores Master'!$D$2:$D$65,'Indicadores Master'!$K$2:$K$65,""),"")</f>
        <v/>
      </c>
      <c r="I141" s="172" t="str">
        <f t="array" ref="I141">IFERROR(XLOOKUP(E141,'Indicadores Master'!$D$2:$D$65,'Indicadores Master'!$J$2:$J$65,""),"")</f>
        <v/>
      </c>
      <c r="J141" s="171"/>
      <c r="K141" s="171"/>
      <c r="L141" s="172"/>
      <c r="M141" s="171"/>
      <c r="N141" s="172"/>
    </row>
    <row r="142" ht="15.75" customHeight="1">
      <c r="A142" s="170"/>
      <c r="B142" s="170"/>
      <c r="C142" s="170"/>
      <c r="D142" s="170"/>
      <c r="E142" s="170"/>
      <c r="F142" s="170" t="str">
        <f t="array" ref="F142">IFERROR(XLOOKUP(E142,'Indicadores Master'!$D$2:$D$65,'Indicadores Master'!$E$2:$E$65,""),"")</f>
        <v/>
      </c>
      <c r="G142" s="170" t="str">
        <f t="array" ref="G142">IFERROR(XLOOKUP(E142,'Indicadores Master'!$D$2:$D$65,'Indicadores Master'!$A$2:$A$65,""),"")</f>
        <v/>
      </c>
      <c r="H142" s="187" t="str">
        <f t="array" ref="H142">IFERROR(XLOOKUP(E142,'Indicadores Master'!$D$2:$D$65,'Indicadores Master'!$K$2:$K$65,""),"")</f>
        <v/>
      </c>
      <c r="I142" s="170" t="str">
        <f t="array" ref="I142">IFERROR(XLOOKUP(E142,'Indicadores Master'!$D$2:$D$65,'Indicadores Master'!$J$2:$J$65,""),"")</f>
        <v/>
      </c>
      <c r="J142" s="169"/>
      <c r="K142" s="169"/>
      <c r="L142" s="170"/>
      <c r="M142" s="169"/>
      <c r="N142" s="170"/>
    </row>
    <row r="143" ht="15.75" customHeight="1">
      <c r="A143" s="172"/>
      <c r="B143" s="172"/>
      <c r="C143" s="172"/>
      <c r="D143" s="172"/>
      <c r="E143" s="172"/>
      <c r="F143" s="172" t="str">
        <f t="array" ref="F143">IFERROR(XLOOKUP(E143,'Indicadores Master'!$D$2:$D$65,'Indicadores Master'!$E$2:$E$65,""),"")</f>
        <v/>
      </c>
      <c r="G143" s="172" t="str">
        <f t="array" ref="G143">IFERROR(XLOOKUP(E143,'Indicadores Master'!$D$2:$D$65,'Indicadores Master'!$A$2:$A$65,""),"")</f>
        <v/>
      </c>
      <c r="H143" s="188" t="str">
        <f t="array" ref="H143">IFERROR(XLOOKUP(E143,'Indicadores Master'!$D$2:$D$65,'Indicadores Master'!$K$2:$K$65,""),"")</f>
        <v/>
      </c>
      <c r="I143" s="172" t="str">
        <f t="array" ref="I143">IFERROR(XLOOKUP(E143,'Indicadores Master'!$D$2:$D$65,'Indicadores Master'!$J$2:$J$65,""),"")</f>
        <v/>
      </c>
      <c r="J143" s="171"/>
      <c r="K143" s="171"/>
      <c r="L143" s="172"/>
      <c r="M143" s="171"/>
      <c r="N143" s="172"/>
    </row>
    <row r="144" ht="15.75" customHeight="1">
      <c r="A144" s="170"/>
      <c r="B144" s="170"/>
      <c r="C144" s="170"/>
      <c r="D144" s="170"/>
      <c r="E144" s="170"/>
      <c r="F144" s="170" t="str">
        <f t="array" ref="F144">IFERROR(XLOOKUP(E144,'Indicadores Master'!$D$2:$D$65,'Indicadores Master'!$E$2:$E$65,""),"")</f>
        <v/>
      </c>
      <c r="G144" s="170" t="str">
        <f t="array" ref="G144">IFERROR(XLOOKUP(E144,'Indicadores Master'!$D$2:$D$65,'Indicadores Master'!$A$2:$A$65,""),"")</f>
        <v/>
      </c>
      <c r="H144" s="187" t="str">
        <f t="array" ref="H144">IFERROR(XLOOKUP(E144,'Indicadores Master'!$D$2:$D$65,'Indicadores Master'!$K$2:$K$65,""),"")</f>
        <v/>
      </c>
      <c r="I144" s="170" t="str">
        <f t="array" ref="I144">IFERROR(XLOOKUP(E144,'Indicadores Master'!$D$2:$D$65,'Indicadores Master'!$J$2:$J$65,""),"")</f>
        <v/>
      </c>
      <c r="J144" s="169"/>
      <c r="K144" s="169"/>
      <c r="L144" s="170"/>
      <c r="M144" s="169"/>
      <c r="N144" s="170"/>
    </row>
    <row r="145" ht="15.75" customHeight="1">
      <c r="A145" s="172"/>
      <c r="B145" s="172"/>
      <c r="C145" s="172"/>
      <c r="D145" s="172"/>
      <c r="E145" s="172"/>
      <c r="F145" s="172" t="str">
        <f t="array" ref="F145">IFERROR(XLOOKUP(E145,'Indicadores Master'!$D$2:$D$65,'Indicadores Master'!$E$2:$E$65,""),"")</f>
        <v/>
      </c>
      <c r="G145" s="172" t="str">
        <f t="array" ref="G145">IFERROR(XLOOKUP(E145,'Indicadores Master'!$D$2:$D$65,'Indicadores Master'!$A$2:$A$65,""),"")</f>
        <v/>
      </c>
      <c r="H145" s="188" t="str">
        <f t="array" ref="H145">IFERROR(XLOOKUP(E145,'Indicadores Master'!$D$2:$D$65,'Indicadores Master'!$K$2:$K$65,""),"")</f>
        <v/>
      </c>
      <c r="I145" s="172" t="str">
        <f t="array" ref="I145">IFERROR(XLOOKUP(E145,'Indicadores Master'!$D$2:$D$65,'Indicadores Master'!$J$2:$J$65,""),"")</f>
        <v/>
      </c>
      <c r="J145" s="171"/>
      <c r="K145" s="171"/>
      <c r="L145" s="172"/>
      <c r="M145" s="171"/>
      <c r="N145" s="172"/>
    </row>
    <row r="146" ht="15.75" customHeight="1">
      <c r="A146" s="170"/>
      <c r="B146" s="170"/>
      <c r="C146" s="170"/>
      <c r="D146" s="170"/>
      <c r="E146" s="170"/>
      <c r="F146" s="170" t="str">
        <f t="array" ref="F146">IFERROR(XLOOKUP(E146,'Indicadores Master'!$D$2:$D$65,'Indicadores Master'!$E$2:$E$65,""),"")</f>
        <v/>
      </c>
      <c r="G146" s="170" t="str">
        <f t="array" ref="G146">IFERROR(XLOOKUP(E146,'Indicadores Master'!$D$2:$D$65,'Indicadores Master'!$A$2:$A$65,""),"")</f>
        <v/>
      </c>
      <c r="H146" s="187" t="str">
        <f t="array" ref="H146">IFERROR(XLOOKUP(E146,'Indicadores Master'!$D$2:$D$65,'Indicadores Master'!$K$2:$K$65,""),"")</f>
        <v/>
      </c>
      <c r="I146" s="170" t="str">
        <f t="array" ref="I146">IFERROR(XLOOKUP(E146,'Indicadores Master'!$D$2:$D$65,'Indicadores Master'!$J$2:$J$65,""),"")</f>
        <v/>
      </c>
      <c r="J146" s="169"/>
      <c r="K146" s="169"/>
      <c r="L146" s="170"/>
      <c r="M146" s="169"/>
      <c r="N146" s="170"/>
    </row>
    <row r="147" ht="15.75" customHeight="1">
      <c r="A147" s="172"/>
      <c r="B147" s="172"/>
      <c r="C147" s="172"/>
      <c r="D147" s="172"/>
      <c r="E147" s="172"/>
      <c r="F147" s="172" t="str">
        <f t="array" ref="F147">IFERROR(XLOOKUP(E147,'Indicadores Master'!$D$2:$D$65,'Indicadores Master'!$E$2:$E$65,""),"")</f>
        <v/>
      </c>
      <c r="G147" s="172" t="str">
        <f t="array" ref="G147">IFERROR(XLOOKUP(E147,'Indicadores Master'!$D$2:$D$65,'Indicadores Master'!$A$2:$A$65,""),"")</f>
        <v/>
      </c>
      <c r="H147" s="188" t="str">
        <f t="array" ref="H147">IFERROR(XLOOKUP(E147,'Indicadores Master'!$D$2:$D$65,'Indicadores Master'!$K$2:$K$65,""),"")</f>
        <v/>
      </c>
      <c r="I147" s="172" t="str">
        <f t="array" ref="I147">IFERROR(XLOOKUP(E147,'Indicadores Master'!$D$2:$D$65,'Indicadores Master'!$J$2:$J$65,""),"")</f>
        <v/>
      </c>
      <c r="J147" s="171"/>
      <c r="K147" s="171"/>
      <c r="L147" s="172"/>
      <c r="M147" s="171"/>
      <c r="N147" s="172"/>
    </row>
    <row r="148" ht="15.75" customHeight="1">
      <c r="A148" s="170"/>
      <c r="B148" s="170"/>
      <c r="C148" s="170"/>
      <c r="D148" s="170"/>
      <c r="E148" s="170"/>
      <c r="F148" s="170" t="str">
        <f t="array" ref="F148">IFERROR(XLOOKUP(E148,'Indicadores Master'!$D$2:$D$65,'Indicadores Master'!$E$2:$E$65,""),"")</f>
        <v/>
      </c>
      <c r="G148" s="170" t="str">
        <f t="array" ref="G148">IFERROR(XLOOKUP(E148,'Indicadores Master'!$D$2:$D$65,'Indicadores Master'!$A$2:$A$65,""),"")</f>
        <v/>
      </c>
      <c r="H148" s="187" t="str">
        <f t="array" ref="H148">IFERROR(XLOOKUP(E148,'Indicadores Master'!$D$2:$D$65,'Indicadores Master'!$K$2:$K$65,""),"")</f>
        <v/>
      </c>
      <c r="I148" s="170" t="str">
        <f t="array" ref="I148">IFERROR(XLOOKUP(E148,'Indicadores Master'!$D$2:$D$65,'Indicadores Master'!$J$2:$J$65,""),"")</f>
        <v/>
      </c>
      <c r="J148" s="169"/>
      <c r="K148" s="169"/>
      <c r="L148" s="170"/>
      <c r="M148" s="169"/>
      <c r="N148" s="170"/>
    </row>
    <row r="149" ht="15.75" customHeight="1">
      <c r="A149" s="172"/>
      <c r="B149" s="172"/>
      <c r="C149" s="172"/>
      <c r="D149" s="172"/>
      <c r="E149" s="172"/>
      <c r="F149" s="172" t="str">
        <f t="array" ref="F149">IFERROR(XLOOKUP(E149,'Indicadores Master'!$D$2:$D$65,'Indicadores Master'!$E$2:$E$65,""),"")</f>
        <v/>
      </c>
      <c r="G149" s="172" t="str">
        <f t="array" ref="G149">IFERROR(XLOOKUP(E149,'Indicadores Master'!$D$2:$D$65,'Indicadores Master'!$A$2:$A$65,""),"")</f>
        <v/>
      </c>
      <c r="H149" s="188" t="str">
        <f t="array" ref="H149">IFERROR(XLOOKUP(E149,'Indicadores Master'!$D$2:$D$65,'Indicadores Master'!$K$2:$K$65,""),"")</f>
        <v/>
      </c>
      <c r="I149" s="172" t="str">
        <f t="array" ref="I149">IFERROR(XLOOKUP(E149,'Indicadores Master'!$D$2:$D$65,'Indicadores Master'!$J$2:$J$65,""),"")</f>
        <v/>
      </c>
      <c r="J149" s="171"/>
      <c r="K149" s="171"/>
      <c r="L149" s="172"/>
      <c r="M149" s="171"/>
      <c r="N149" s="172"/>
    </row>
    <row r="150" ht="15.75" customHeight="1">
      <c r="A150" s="170"/>
      <c r="B150" s="170"/>
      <c r="C150" s="170"/>
      <c r="D150" s="170"/>
      <c r="E150" s="170"/>
      <c r="F150" s="170" t="str">
        <f t="array" ref="F150">IFERROR(XLOOKUP(E150,'Indicadores Master'!$D$2:$D$65,'Indicadores Master'!$E$2:$E$65,""),"")</f>
        <v/>
      </c>
      <c r="G150" s="170" t="str">
        <f t="array" ref="G150">IFERROR(XLOOKUP(E150,'Indicadores Master'!$D$2:$D$65,'Indicadores Master'!$A$2:$A$65,""),"")</f>
        <v/>
      </c>
      <c r="H150" s="187" t="str">
        <f t="array" ref="H150">IFERROR(XLOOKUP(E150,'Indicadores Master'!$D$2:$D$65,'Indicadores Master'!$K$2:$K$65,""),"")</f>
        <v/>
      </c>
      <c r="I150" s="170" t="str">
        <f t="array" ref="I150">IFERROR(XLOOKUP(E150,'Indicadores Master'!$D$2:$D$65,'Indicadores Master'!$J$2:$J$65,""),"")</f>
        <v/>
      </c>
      <c r="J150" s="169"/>
      <c r="K150" s="169"/>
      <c r="L150" s="170"/>
      <c r="M150" s="169"/>
      <c r="N150" s="170"/>
    </row>
    <row r="151" ht="15.75" customHeight="1">
      <c r="A151" s="172"/>
      <c r="B151" s="172"/>
      <c r="C151" s="172"/>
      <c r="D151" s="172"/>
      <c r="E151" s="172"/>
      <c r="F151" s="172" t="str">
        <f t="array" ref="F151">IFERROR(XLOOKUP(E151,'Indicadores Master'!$D$2:$D$65,'Indicadores Master'!$E$2:$E$65,""),"")</f>
        <v/>
      </c>
      <c r="G151" s="172" t="str">
        <f t="array" ref="G151">IFERROR(XLOOKUP(E151,'Indicadores Master'!$D$2:$D$65,'Indicadores Master'!$A$2:$A$65,""),"")</f>
        <v/>
      </c>
      <c r="H151" s="188" t="str">
        <f t="array" ref="H151">IFERROR(XLOOKUP(E151,'Indicadores Master'!$D$2:$D$65,'Indicadores Master'!$K$2:$K$65,""),"")</f>
        <v/>
      </c>
      <c r="I151" s="172" t="str">
        <f t="array" ref="I151">IFERROR(XLOOKUP(E151,'Indicadores Master'!$D$2:$D$65,'Indicadores Master'!$J$2:$J$65,""),"")</f>
        <v/>
      </c>
      <c r="J151" s="171"/>
      <c r="K151" s="171"/>
      <c r="L151" s="172"/>
      <c r="M151" s="171"/>
      <c r="N151" s="172"/>
    </row>
    <row r="152" ht="15.75" customHeight="1">
      <c r="A152" s="170"/>
      <c r="B152" s="170"/>
      <c r="C152" s="170"/>
      <c r="D152" s="170"/>
      <c r="E152" s="170"/>
      <c r="F152" s="170" t="str">
        <f t="array" ref="F152">IFERROR(XLOOKUP(E152,'Indicadores Master'!$D$2:$D$65,'Indicadores Master'!$E$2:$E$65,""),"")</f>
        <v/>
      </c>
      <c r="G152" s="170" t="str">
        <f t="array" ref="G152">IFERROR(XLOOKUP(E152,'Indicadores Master'!$D$2:$D$65,'Indicadores Master'!$A$2:$A$65,""),"")</f>
        <v/>
      </c>
      <c r="H152" s="187" t="str">
        <f t="array" ref="H152">IFERROR(XLOOKUP(E152,'Indicadores Master'!$D$2:$D$65,'Indicadores Master'!$K$2:$K$65,""),"")</f>
        <v/>
      </c>
      <c r="I152" s="170" t="str">
        <f t="array" ref="I152">IFERROR(XLOOKUP(E152,'Indicadores Master'!$D$2:$D$65,'Indicadores Master'!$J$2:$J$65,""),"")</f>
        <v/>
      </c>
      <c r="J152" s="169"/>
      <c r="K152" s="169"/>
      <c r="L152" s="170"/>
      <c r="M152" s="169"/>
      <c r="N152" s="170"/>
    </row>
    <row r="153" ht="15.75" customHeight="1">
      <c r="A153" s="172"/>
      <c r="B153" s="172"/>
      <c r="C153" s="172"/>
      <c r="D153" s="172"/>
      <c r="E153" s="172"/>
      <c r="F153" s="172" t="str">
        <f t="array" ref="F153">IFERROR(XLOOKUP(E153,'Indicadores Master'!$D$2:$D$65,'Indicadores Master'!$E$2:$E$65,""),"")</f>
        <v/>
      </c>
      <c r="G153" s="172" t="str">
        <f t="array" ref="G153">IFERROR(XLOOKUP(E153,'Indicadores Master'!$D$2:$D$65,'Indicadores Master'!$A$2:$A$65,""),"")</f>
        <v/>
      </c>
      <c r="H153" s="188" t="str">
        <f t="array" ref="H153">IFERROR(XLOOKUP(E153,'Indicadores Master'!$D$2:$D$65,'Indicadores Master'!$K$2:$K$65,""),"")</f>
        <v/>
      </c>
      <c r="I153" s="172" t="str">
        <f t="array" ref="I153">IFERROR(XLOOKUP(E153,'Indicadores Master'!$D$2:$D$65,'Indicadores Master'!$J$2:$J$65,""),"")</f>
        <v/>
      </c>
      <c r="J153" s="171"/>
      <c r="K153" s="171"/>
      <c r="L153" s="172"/>
      <c r="M153" s="171"/>
      <c r="N153" s="172"/>
    </row>
    <row r="154" ht="15.75" customHeight="1">
      <c r="A154" s="170"/>
      <c r="B154" s="170"/>
      <c r="C154" s="170"/>
      <c r="D154" s="170"/>
      <c r="E154" s="170"/>
      <c r="F154" s="170" t="str">
        <f t="array" ref="F154">IFERROR(XLOOKUP(E154,'Indicadores Master'!$D$2:$D$65,'Indicadores Master'!$E$2:$E$65,""),"")</f>
        <v/>
      </c>
      <c r="G154" s="170" t="str">
        <f t="array" ref="G154">IFERROR(XLOOKUP(E154,'Indicadores Master'!$D$2:$D$65,'Indicadores Master'!$A$2:$A$65,""),"")</f>
        <v/>
      </c>
      <c r="H154" s="187" t="str">
        <f t="array" ref="H154">IFERROR(XLOOKUP(E154,'Indicadores Master'!$D$2:$D$65,'Indicadores Master'!$K$2:$K$65,""),"")</f>
        <v/>
      </c>
      <c r="I154" s="170" t="str">
        <f t="array" ref="I154">IFERROR(XLOOKUP(E154,'Indicadores Master'!$D$2:$D$65,'Indicadores Master'!$J$2:$J$65,""),"")</f>
        <v/>
      </c>
      <c r="J154" s="169"/>
      <c r="K154" s="169"/>
      <c r="L154" s="170"/>
      <c r="M154" s="169"/>
      <c r="N154" s="170"/>
    </row>
    <row r="155" ht="15.75" customHeight="1">
      <c r="A155" s="172"/>
      <c r="B155" s="172"/>
      <c r="C155" s="172"/>
      <c r="D155" s="172"/>
      <c r="E155" s="172"/>
      <c r="F155" s="172" t="str">
        <f t="array" ref="F155">IFERROR(XLOOKUP(E155,'Indicadores Master'!$D$2:$D$65,'Indicadores Master'!$E$2:$E$65,""),"")</f>
        <v/>
      </c>
      <c r="G155" s="172" t="str">
        <f t="array" ref="G155">IFERROR(XLOOKUP(E155,'Indicadores Master'!$D$2:$D$65,'Indicadores Master'!$A$2:$A$65,""),"")</f>
        <v/>
      </c>
      <c r="H155" s="188" t="str">
        <f t="array" ref="H155">IFERROR(XLOOKUP(E155,'Indicadores Master'!$D$2:$D$65,'Indicadores Master'!$K$2:$K$65,""),"")</f>
        <v/>
      </c>
      <c r="I155" s="172" t="str">
        <f t="array" ref="I155">IFERROR(XLOOKUP(E155,'Indicadores Master'!$D$2:$D$65,'Indicadores Master'!$J$2:$J$65,""),"")</f>
        <v/>
      </c>
      <c r="J155" s="171"/>
      <c r="K155" s="171"/>
      <c r="L155" s="172"/>
      <c r="M155" s="171"/>
      <c r="N155" s="172"/>
    </row>
    <row r="156" ht="15.75" customHeight="1">
      <c r="A156" s="170"/>
      <c r="B156" s="170"/>
      <c r="C156" s="170"/>
      <c r="D156" s="170"/>
      <c r="E156" s="170"/>
      <c r="F156" s="170" t="str">
        <f t="array" ref="F156">IFERROR(XLOOKUP(E156,'Indicadores Master'!$D$2:$D$65,'Indicadores Master'!$E$2:$E$65,""),"")</f>
        <v/>
      </c>
      <c r="G156" s="170" t="str">
        <f t="array" ref="G156">IFERROR(XLOOKUP(E156,'Indicadores Master'!$D$2:$D$65,'Indicadores Master'!$A$2:$A$65,""),"")</f>
        <v/>
      </c>
      <c r="H156" s="187" t="str">
        <f t="array" ref="H156">IFERROR(XLOOKUP(E156,'Indicadores Master'!$D$2:$D$65,'Indicadores Master'!$K$2:$K$65,""),"")</f>
        <v/>
      </c>
      <c r="I156" s="170" t="str">
        <f t="array" ref="I156">IFERROR(XLOOKUP(E156,'Indicadores Master'!$D$2:$D$65,'Indicadores Master'!$J$2:$J$65,""),"")</f>
        <v/>
      </c>
      <c r="J156" s="169"/>
      <c r="K156" s="169"/>
      <c r="L156" s="170"/>
      <c r="M156" s="169"/>
      <c r="N156" s="170"/>
    </row>
    <row r="157" ht="15.75" customHeight="1">
      <c r="A157" s="172"/>
      <c r="B157" s="172"/>
      <c r="C157" s="172"/>
      <c r="D157" s="172"/>
      <c r="E157" s="172"/>
      <c r="F157" s="172" t="str">
        <f t="array" ref="F157">IFERROR(XLOOKUP(E157,'Indicadores Master'!$D$2:$D$65,'Indicadores Master'!$E$2:$E$65,""),"")</f>
        <v/>
      </c>
      <c r="G157" s="172" t="str">
        <f t="array" ref="G157">IFERROR(XLOOKUP(E157,'Indicadores Master'!$D$2:$D$65,'Indicadores Master'!$A$2:$A$65,""),"")</f>
        <v/>
      </c>
      <c r="H157" s="188" t="str">
        <f t="array" ref="H157">IFERROR(XLOOKUP(E157,'Indicadores Master'!$D$2:$D$65,'Indicadores Master'!$K$2:$K$65,""),"")</f>
        <v/>
      </c>
      <c r="I157" s="172" t="str">
        <f t="array" ref="I157">IFERROR(XLOOKUP(E157,'Indicadores Master'!$D$2:$D$65,'Indicadores Master'!$J$2:$J$65,""),"")</f>
        <v/>
      </c>
      <c r="J157" s="171"/>
      <c r="K157" s="171"/>
      <c r="L157" s="172"/>
      <c r="M157" s="171"/>
      <c r="N157" s="172"/>
    </row>
    <row r="158" ht="15.75" customHeight="1">
      <c r="A158" s="170"/>
      <c r="B158" s="170"/>
      <c r="C158" s="170"/>
      <c r="D158" s="170"/>
      <c r="E158" s="170"/>
      <c r="F158" s="170" t="str">
        <f t="array" ref="F158">IFERROR(XLOOKUP(E158,'Indicadores Master'!$D$2:$D$65,'Indicadores Master'!$E$2:$E$65,""),"")</f>
        <v/>
      </c>
      <c r="G158" s="170" t="str">
        <f t="array" ref="G158">IFERROR(XLOOKUP(E158,'Indicadores Master'!$D$2:$D$65,'Indicadores Master'!$A$2:$A$65,""),"")</f>
        <v/>
      </c>
      <c r="H158" s="187" t="str">
        <f t="array" ref="H158">IFERROR(XLOOKUP(E158,'Indicadores Master'!$D$2:$D$65,'Indicadores Master'!$K$2:$K$65,""),"")</f>
        <v/>
      </c>
      <c r="I158" s="170" t="str">
        <f t="array" ref="I158">IFERROR(XLOOKUP(E158,'Indicadores Master'!$D$2:$D$65,'Indicadores Master'!$J$2:$J$65,""),"")</f>
        <v/>
      </c>
      <c r="J158" s="169"/>
      <c r="K158" s="169"/>
      <c r="L158" s="170"/>
      <c r="M158" s="169"/>
      <c r="N158" s="170"/>
    </row>
    <row r="159" ht="15.75" customHeight="1">
      <c r="A159" s="172"/>
      <c r="B159" s="172"/>
      <c r="C159" s="172"/>
      <c r="D159" s="172"/>
      <c r="E159" s="172"/>
      <c r="F159" s="172" t="str">
        <f t="array" ref="F159">IFERROR(XLOOKUP(E159,'Indicadores Master'!$D$2:$D$65,'Indicadores Master'!$E$2:$E$65,""),"")</f>
        <v/>
      </c>
      <c r="G159" s="172" t="str">
        <f t="array" ref="G159">IFERROR(XLOOKUP(E159,'Indicadores Master'!$D$2:$D$65,'Indicadores Master'!$A$2:$A$65,""),"")</f>
        <v/>
      </c>
      <c r="H159" s="188" t="str">
        <f t="array" ref="H159">IFERROR(XLOOKUP(E159,'Indicadores Master'!$D$2:$D$65,'Indicadores Master'!$K$2:$K$65,""),"")</f>
        <v/>
      </c>
      <c r="I159" s="172" t="str">
        <f t="array" ref="I159">IFERROR(XLOOKUP(E159,'Indicadores Master'!$D$2:$D$65,'Indicadores Master'!$J$2:$J$65,""),"")</f>
        <v/>
      </c>
      <c r="J159" s="171"/>
      <c r="K159" s="171"/>
      <c r="L159" s="172"/>
      <c r="M159" s="171"/>
      <c r="N159" s="172"/>
    </row>
    <row r="160" ht="15.75" customHeight="1">
      <c r="A160" s="170"/>
      <c r="B160" s="170"/>
      <c r="C160" s="170"/>
      <c r="D160" s="170"/>
      <c r="E160" s="170"/>
      <c r="F160" s="170" t="str">
        <f t="array" ref="F160">IFERROR(XLOOKUP(E160,'Indicadores Master'!$D$2:$D$65,'Indicadores Master'!$E$2:$E$65,""),"")</f>
        <v/>
      </c>
      <c r="G160" s="170" t="str">
        <f t="array" ref="G160">IFERROR(XLOOKUP(E160,'Indicadores Master'!$D$2:$D$65,'Indicadores Master'!$A$2:$A$65,""),"")</f>
        <v/>
      </c>
      <c r="H160" s="187" t="str">
        <f t="array" ref="H160">IFERROR(XLOOKUP(E160,'Indicadores Master'!$D$2:$D$65,'Indicadores Master'!$K$2:$K$65,""),"")</f>
        <v/>
      </c>
      <c r="I160" s="170" t="str">
        <f t="array" ref="I160">IFERROR(XLOOKUP(E160,'Indicadores Master'!$D$2:$D$65,'Indicadores Master'!$J$2:$J$65,""),"")</f>
        <v/>
      </c>
      <c r="J160" s="169"/>
      <c r="K160" s="169"/>
      <c r="L160" s="170"/>
      <c r="M160" s="169"/>
      <c r="N160" s="170"/>
    </row>
    <row r="161" ht="15.75" customHeight="1">
      <c r="A161" s="172"/>
      <c r="B161" s="172"/>
      <c r="C161" s="172"/>
      <c r="D161" s="172"/>
      <c r="E161" s="172"/>
      <c r="F161" s="172" t="str">
        <f t="array" ref="F161">IFERROR(XLOOKUP(E161,'Indicadores Master'!$D$2:$D$65,'Indicadores Master'!$E$2:$E$65,""),"")</f>
        <v/>
      </c>
      <c r="G161" s="172" t="str">
        <f t="array" ref="G161">IFERROR(XLOOKUP(E161,'Indicadores Master'!$D$2:$D$65,'Indicadores Master'!$A$2:$A$65,""),"")</f>
        <v/>
      </c>
      <c r="H161" s="188" t="str">
        <f t="array" ref="H161">IFERROR(XLOOKUP(E161,'Indicadores Master'!$D$2:$D$65,'Indicadores Master'!$K$2:$K$65,""),"")</f>
        <v/>
      </c>
      <c r="I161" s="172" t="str">
        <f t="array" ref="I161">IFERROR(XLOOKUP(E161,'Indicadores Master'!$D$2:$D$65,'Indicadores Master'!$J$2:$J$65,""),"")</f>
        <v/>
      </c>
      <c r="J161" s="171"/>
      <c r="K161" s="171"/>
      <c r="L161" s="172"/>
      <c r="M161" s="171"/>
      <c r="N161" s="172"/>
    </row>
    <row r="162" ht="15.75" customHeight="1">
      <c r="A162" s="170"/>
      <c r="B162" s="170"/>
      <c r="C162" s="170"/>
      <c r="D162" s="170"/>
      <c r="E162" s="170"/>
      <c r="F162" s="170" t="str">
        <f t="array" ref="F162">IFERROR(XLOOKUP(E162,'Indicadores Master'!$D$2:$D$65,'Indicadores Master'!$E$2:$E$65,""),"")</f>
        <v/>
      </c>
      <c r="G162" s="170" t="str">
        <f t="array" ref="G162">IFERROR(XLOOKUP(E162,'Indicadores Master'!$D$2:$D$65,'Indicadores Master'!$A$2:$A$65,""),"")</f>
        <v/>
      </c>
      <c r="H162" s="187" t="str">
        <f t="array" ref="H162">IFERROR(XLOOKUP(E162,'Indicadores Master'!$D$2:$D$65,'Indicadores Master'!$K$2:$K$65,""),"")</f>
        <v/>
      </c>
      <c r="I162" s="170" t="str">
        <f t="array" ref="I162">IFERROR(XLOOKUP(E162,'Indicadores Master'!$D$2:$D$65,'Indicadores Master'!$J$2:$J$65,""),"")</f>
        <v/>
      </c>
      <c r="J162" s="169"/>
      <c r="K162" s="169"/>
      <c r="L162" s="170"/>
      <c r="M162" s="169"/>
      <c r="N162" s="170"/>
    </row>
    <row r="163" ht="15.75" customHeight="1">
      <c r="A163" s="172"/>
      <c r="B163" s="172"/>
      <c r="C163" s="172"/>
      <c r="D163" s="172"/>
      <c r="E163" s="172"/>
      <c r="F163" s="172" t="str">
        <f t="array" ref="F163">IFERROR(XLOOKUP(E163,'Indicadores Master'!$D$2:$D$65,'Indicadores Master'!$E$2:$E$65,""),"")</f>
        <v/>
      </c>
      <c r="G163" s="172" t="str">
        <f t="array" ref="G163">IFERROR(XLOOKUP(E163,'Indicadores Master'!$D$2:$D$65,'Indicadores Master'!$A$2:$A$65,""),"")</f>
        <v/>
      </c>
      <c r="H163" s="188" t="str">
        <f t="array" ref="H163">IFERROR(XLOOKUP(E163,'Indicadores Master'!$D$2:$D$65,'Indicadores Master'!$K$2:$K$65,""),"")</f>
        <v/>
      </c>
      <c r="I163" s="172" t="str">
        <f t="array" ref="I163">IFERROR(XLOOKUP(E163,'Indicadores Master'!$D$2:$D$65,'Indicadores Master'!$J$2:$J$65,""),"")</f>
        <v/>
      </c>
      <c r="J163" s="171"/>
      <c r="K163" s="171"/>
      <c r="L163" s="172"/>
      <c r="M163" s="171"/>
      <c r="N163" s="172"/>
    </row>
    <row r="164" ht="15.75" customHeight="1">
      <c r="A164" s="170"/>
      <c r="B164" s="170"/>
      <c r="C164" s="170"/>
      <c r="D164" s="170"/>
      <c r="E164" s="170"/>
      <c r="F164" s="170" t="str">
        <f t="array" ref="F164">IFERROR(XLOOKUP(E164,'Indicadores Master'!$D$2:$D$65,'Indicadores Master'!$E$2:$E$65,""),"")</f>
        <v/>
      </c>
      <c r="G164" s="170" t="str">
        <f t="array" ref="G164">IFERROR(XLOOKUP(E164,'Indicadores Master'!$D$2:$D$65,'Indicadores Master'!$A$2:$A$65,""),"")</f>
        <v/>
      </c>
      <c r="H164" s="187" t="str">
        <f t="array" ref="H164">IFERROR(XLOOKUP(E164,'Indicadores Master'!$D$2:$D$65,'Indicadores Master'!$K$2:$K$65,""),"")</f>
        <v/>
      </c>
      <c r="I164" s="170" t="str">
        <f t="array" ref="I164">IFERROR(XLOOKUP(E164,'Indicadores Master'!$D$2:$D$65,'Indicadores Master'!$J$2:$J$65,""),"")</f>
        <v/>
      </c>
      <c r="J164" s="169"/>
      <c r="K164" s="169"/>
      <c r="L164" s="170"/>
      <c r="M164" s="169"/>
      <c r="N164" s="170"/>
    </row>
    <row r="165" ht="15.75" customHeight="1">
      <c r="A165" s="172"/>
      <c r="B165" s="172"/>
      <c r="C165" s="172"/>
      <c r="D165" s="172"/>
      <c r="E165" s="172"/>
      <c r="F165" s="172" t="str">
        <f t="array" ref="F165">IFERROR(XLOOKUP(E165,'Indicadores Master'!$D$2:$D$65,'Indicadores Master'!$E$2:$E$65,""),"")</f>
        <v/>
      </c>
      <c r="G165" s="172" t="str">
        <f t="array" ref="G165">IFERROR(XLOOKUP(E165,'Indicadores Master'!$D$2:$D$65,'Indicadores Master'!$A$2:$A$65,""),"")</f>
        <v/>
      </c>
      <c r="H165" s="188" t="str">
        <f t="array" ref="H165">IFERROR(XLOOKUP(E165,'Indicadores Master'!$D$2:$D$65,'Indicadores Master'!$K$2:$K$65,""),"")</f>
        <v/>
      </c>
      <c r="I165" s="172" t="str">
        <f t="array" ref="I165">IFERROR(XLOOKUP(E165,'Indicadores Master'!$D$2:$D$65,'Indicadores Master'!$J$2:$J$65,""),"")</f>
        <v/>
      </c>
      <c r="J165" s="171"/>
      <c r="K165" s="171"/>
      <c r="L165" s="172"/>
      <c r="M165" s="171"/>
      <c r="N165" s="172"/>
    </row>
    <row r="166" ht="15.75" customHeight="1">
      <c r="A166" s="170"/>
      <c r="B166" s="170"/>
      <c r="C166" s="170"/>
      <c r="D166" s="170"/>
      <c r="E166" s="170"/>
      <c r="F166" s="170" t="str">
        <f t="array" ref="F166">IFERROR(XLOOKUP(E166,'Indicadores Master'!$D$2:$D$65,'Indicadores Master'!$E$2:$E$65,""),"")</f>
        <v/>
      </c>
      <c r="G166" s="170" t="str">
        <f t="array" ref="G166">IFERROR(XLOOKUP(E166,'Indicadores Master'!$D$2:$D$65,'Indicadores Master'!$A$2:$A$65,""),"")</f>
        <v/>
      </c>
      <c r="H166" s="187" t="str">
        <f t="array" ref="H166">IFERROR(XLOOKUP(E166,'Indicadores Master'!$D$2:$D$65,'Indicadores Master'!$K$2:$K$65,""),"")</f>
        <v/>
      </c>
      <c r="I166" s="170" t="str">
        <f t="array" ref="I166">IFERROR(XLOOKUP(E166,'Indicadores Master'!$D$2:$D$65,'Indicadores Master'!$J$2:$J$65,""),"")</f>
        <v/>
      </c>
      <c r="J166" s="169"/>
      <c r="K166" s="169"/>
      <c r="L166" s="170"/>
      <c r="M166" s="169"/>
      <c r="N166" s="170"/>
    </row>
    <row r="167" ht="15.75" customHeight="1">
      <c r="A167" s="172"/>
      <c r="B167" s="172"/>
      <c r="C167" s="172"/>
      <c r="D167" s="172"/>
      <c r="E167" s="172"/>
      <c r="F167" s="172" t="str">
        <f t="array" ref="F167">IFERROR(XLOOKUP(E167,'Indicadores Master'!$D$2:$D$65,'Indicadores Master'!$E$2:$E$65,""),"")</f>
        <v/>
      </c>
      <c r="G167" s="172" t="str">
        <f t="array" ref="G167">IFERROR(XLOOKUP(E167,'Indicadores Master'!$D$2:$D$65,'Indicadores Master'!$A$2:$A$65,""),"")</f>
        <v/>
      </c>
      <c r="H167" s="188" t="str">
        <f t="array" ref="H167">IFERROR(XLOOKUP(E167,'Indicadores Master'!$D$2:$D$65,'Indicadores Master'!$K$2:$K$65,""),"")</f>
        <v/>
      </c>
      <c r="I167" s="172" t="str">
        <f t="array" ref="I167">IFERROR(XLOOKUP(E167,'Indicadores Master'!$D$2:$D$65,'Indicadores Master'!$J$2:$J$65,""),"")</f>
        <v/>
      </c>
      <c r="J167" s="171"/>
      <c r="K167" s="171"/>
      <c r="L167" s="172"/>
      <c r="M167" s="171"/>
      <c r="N167" s="172"/>
    </row>
    <row r="168" ht="15.75" customHeight="1">
      <c r="A168" s="170"/>
      <c r="B168" s="170"/>
      <c r="C168" s="170"/>
      <c r="D168" s="170"/>
      <c r="E168" s="170"/>
      <c r="F168" s="170" t="str">
        <f t="array" ref="F168">IFERROR(XLOOKUP(E168,'Indicadores Master'!$D$2:$D$65,'Indicadores Master'!$E$2:$E$65,""),"")</f>
        <v/>
      </c>
      <c r="G168" s="170" t="str">
        <f t="array" ref="G168">IFERROR(XLOOKUP(E168,'Indicadores Master'!$D$2:$D$65,'Indicadores Master'!$A$2:$A$65,""),"")</f>
        <v/>
      </c>
      <c r="H168" s="187" t="str">
        <f t="array" ref="H168">IFERROR(XLOOKUP(E168,'Indicadores Master'!$D$2:$D$65,'Indicadores Master'!$K$2:$K$65,""),"")</f>
        <v/>
      </c>
      <c r="I168" s="170" t="str">
        <f t="array" ref="I168">IFERROR(XLOOKUP(E168,'Indicadores Master'!$D$2:$D$65,'Indicadores Master'!$J$2:$J$65,""),"")</f>
        <v/>
      </c>
      <c r="J168" s="169"/>
      <c r="K168" s="169"/>
      <c r="L168" s="170"/>
      <c r="M168" s="169"/>
      <c r="N168" s="170"/>
    </row>
    <row r="169" ht="15.75" customHeight="1">
      <c r="A169" s="172"/>
      <c r="B169" s="172"/>
      <c r="C169" s="172"/>
      <c r="D169" s="172"/>
      <c r="E169" s="172"/>
      <c r="F169" s="172" t="str">
        <f t="array" ref="F169">IFERROR(XLOOKUP(E169,'Indicadores Master'!$D$2:$D$65,'Indicadores Master'!$E$2:$E$65,""),"")</f>
        <v/>
      </c>
      <c r="G169" s="172" t="str">
        <f t="array" ref="G169">IFERROR(XLOOKUP(E169,'Indicadores Master'!$D$2:$D$65,'Indicadores Master'!$A$2:$A$65,""),"")</f>
        <v/>
      </c>
      <c r="H169" s="188" t="str">
        <f t="array" ref="H169">IFERROR(XLOOKUP(E169,'Indicadores Master'!$D$2:$D$65,'Indicadores Master'!$K$2:$K$65,""),"")</f>
        <v/>
      </c>
      <c r="I169" s="172" t="str">
        <f t="array" ref="I169">IFERROR(XLOOKUP(E169,'Indicadores Master'!$D$2:$D$65,'Indicadores Master'!$J$2:$J$65,""),"")</f>
        <v/>
      </c>
      <c r="J169" s="171"/>
      <c r="K169" s="171"/>
      <c r="L169" s="172"/>
      <c r="M169" s="171"/>
      <c r="N169" s="172"/>
    </row>
    <row r="170" ht="15.75" customHeight="1">
      <c r="A170" s="170"/>
      <c r="B170" s="170"/>
      <c r="C170" s="170"/>
      <c r="D170" s="170"/>
      <c r="E170" s="170"/>
      <c r="F170" s="170" t="str">
        <f t="array" ref="F170">IFERROR(XLOOKUP(E170,'Indicadores Master'!$D$2:$D$65,'Indicadores Master'!$E$2:$E$65,""),"")</f>
        <v/>
      </c>
      <c r="G170" s="170" t="str">
        <f t="array" ref="G170">IFERROR(XLOOKUP(E170,'Indicadores Master'!$D$2:$D$65,'Indicadores Master'!$A$2:$A$65,""),"")</f>
        <v/>
      </c>
      <c r="H170" s="187" t="str">
        <f t="array" ref="H170">IFERROR(XLOOKUP(E170,'Indicadores Master'!$D$2:$D$65,'Indicadores Master'!$K$2:$K$65,""),"")</f>
        <v/>
      </c>
      <c r="I170" s="170" t="str">
        <f t="array" ref="I170">IFERROR(XLOOKUP(E170,'Indicadores Master'!$D$2:$D$65,'Indicadores Master'!$J$2:$J$65,""),"")</f>
        <v/>
      </c>
      <c r="J170" s="169"/>
      <c r="K170" s="169"/>
      <c r="L170" s="170"/>
      <c r="M170" s="169"/>
      <c r="N170" s="170"/>
    </row>
    <row r="171" ht="15.75" customHeight="1">
      <c r="A171" s="172"/>
      <c r="B171" s="172"/>
      <c r="C171" s="172"/>
      <c r="D171" s="172"/>
      <c r="E171" s="172"/>
      <c r="F171" s="172" t="str">
        <f t="array" ref="F171">IFERROR(XLOOKUP(E171,'Indicadores Master'!$D$2:$D$65,'Indicadores Master'!$E$2:$E$65,""),"")</f>
        <v/>
      </c>
      <c r="G171" s="172" t="str">
        <f t="array" ref="G171">IFERROR(XLOOKUP(E171,'Indicadores Master'!$D$2:$D$65,'Indicadores Master'!$A$2:$A$65,""),"")</f>
        <v/>
      </c>
      <c r="H171" s="188" t="str">
        <f t="array" ref="H171">IFERROR(XLOOKUP(E171,'Indicadores Master'!$D$2:$D$65,'Indicadores Master'!$K$2:$K$65,""),"")</f>
        <v/>
      </c>
      <c r="I171" s="172" t="str">
        <f t="array" ref="I171">IFERROR(XLOOKUP(E171,'Indicadores Master'!$D$2:$D$65,'Indicadores Master'!$J$2:$J$65,""),"")</f>
        <v/>
      </c>
      <c r="J171" s="171"/>
      <c r="K171" s="171"/>
      <c r="L171" s="172"/>
      <c r="M171" s="171"/>
      <c r="N171" s="172"/>
    </row>
    <row r="172" ht="15.75" customHeight="1">
      <c r="A172" s="170"/>
      <c r="B172" s="170"/>
      <c r="C172" s="170"/>
      <c r="D172" s="170"/>
      <c r="E172" s="170"/>
      <c r="F172" s="170" t="str">
        <f t="array" ref="F172">IFERROR(XLOOKUP(E172,'Indicadores Master'!$D$2:$D$65,'Indicadores Master'!$E$2:$E$65,""),"")</f>
        <v/>
      </c>
      <c r="G172" s="170" t="str">
        <f t="array" ref="G172">IFERROR(XLOOKUP(E172,'Indicadores Master'!$D$2:$D$65,'Indicadores Master'!$A$2:$A$65,""),"")</f>
        <v/>
      </c>
      <c r="H172" s="187" t="str">
        <f t="array" ref="H172">IFERROR(XLOOKUP(E172,'Indicadores Master'!$D$2:$D$65,'Indicadores Master'!$K$2:$K$65,""),"")</f>
        <v/>
      </c>
      <c r="I172" s="170" t="str">
        <f t="array" ref="I172">IFERROR(XLOOKUP(E172,'Indicadores Master'!$D$2:$D$65,'Indicadores Master'!$J$2:$J$65,""),"")</f>
        <v/>
      </c>
      <c r="J172" s="169"/>
      <c r="K172" s="169"/>
      <c r="L172" s="170"/>
      <c r="M172" s="169"/>
      <c r="N172" s="170"/>
    </row>
    <row r="173" ht="15.75" customHeight="1">
      <c r="A173" s="172"/>
      <c r="B173" s="172"/>
      <c r="C173" s="172"/>
      <c r="D173" s="172"/>
      <c r="E173" s="172"/>
      <c r="F173" s="172" t="str">
        <f t="array" ref="F173">IFERROR(XLOOKUP(E173,'Indicadores Master'!$D$2:$D$65,'Indicadores Master'!$E$2:$E$65,""),"")</f>
        <v/>
      </c>
      <c r="G173" s="172" t="str">
        <f t="array" ref="G173">IFERROR(XLOOKUP(E173,'Indicadores Master'!$D$2:$D$65,'Indicadores Master'!$A$2:$A$65,""),"")</f>
        <v/>
      </c>
      <c r="H173" s="188" t="str">
        <f t="array" ref="H173">IFERROR(XLOOKUP(E173,'Indicadores Master'!$D$2:$D$65,'Indicadores Master'!$K$2:$K$65,""),"")</f>
        <v/>
      </c>
      <c r="I173" s="172" t="str">
        <f t="array" ref="I173">IFERROR(XLOOKUP(E173,'Indicadores Master'!$D$2:$D$65,'Indicadores Master'!$J$2:$J$65,""),"")</f>
        <v/>
      </c>
      <c r="J173" s="171"/>
      <c r="K173" s="171"/>
      <c r="L173" s="172"/>
      <c r="M173" s="171"/>
      <c r="N173" s="172"/>
    </row>
    <row r="174" ht="15.75" customHeight="1">
      <c r="A174" s="170"/>
      <c r="B174" s="170"/>
      <c r="C174" s="170"/>
      <c r="D174" s="170"/>
      <c r="E174" s="170"/>
      <c r="F174" s="170" t="str">
        <f t="array" ref="F174">IFERROR(XLOOKUP(E174,'Indicadores Master'!$D$2:$D$65,'Indicadores Master'!$E$2:$E$65,""),"")</f>
        <v/>
      </c>
      <c r="G174" s="170" t="str">
        <f t="array" ref="G174">IFERROR(XLOOKUP(E174,'Indicadores Master'!$D$2:$D$65,'Indicadores Master'!$A$2:$A$65,""),"")</f>
        <v/>
      </c>
      <c r="H174" s="187" t="str">
        <f t="array" ref="H174">IFERROR(XLOOKUP(E174,'Indicadores Master'!$D$2:$D$65,'Indicadores Master'!$K$2:$K$65,""),"")</f>
        <v/>
      </c>
      <c r="I174" s="170" t="str">
        <f t="array" ref="I174">IFERROR(XLOOKUP(E174,'Indicadores Master'!$D$2:$D$65,'Indicadores Master'!$J$2:$J$65,""),"")</f>
        <v/>
      </c>
      <c r="J174" s="169"/>
      <c r="K174" s="169"/>
      <c r="L174" s="170"/>
      <c r="M174" s="169"/>
      <c r="N174" s="170"/>
    </row>
    <row r="175" ht="15.75" customHeight="1">
      <c r="A175" s="172"/>
      <c r="B175" s="172"/>
      <c r="C175" s="172"/>
      <c r="D175" s="172"/>
      <c r="E175" s="172"/>
      <c r="F175" s="172" t="str">
        <f t="array" ref="F175">IFERROR(XLOOKUP(E175,'Indicadores Master'!$D$2:$D$65,'Indicadores Master'!$E$2:$E$65,""),"")</f>
        <v/>
      </c>
      <c r="G175" s="172" t="str">
        <f t="array" ref="G175">IFERROR(XLOOKUP(E175,'Indicadores Master'!$D$2:$D$65,'Indicadores Master'!$A$2:$A$65,""),"")</f>
        <v/>
      </c>
      <c r="H175" s="188" t="str">
        <f t="array" ref="H175">IFERROR(XLOOKUP(E175,'Indicadores Master'!$D$2:$D$65,'Indicadores Master'!$K$2:$K$65,""),"")</f>
        <v/>
      </c>
      <c r="I175" s="172" t="str">
        <f t="array" ref="I175">IFERROR(XLOOKUP(E175,'Indicadores Master'!$D$2:$D$65,'Indicadores Master'!$J$2:$J$65,""),"")</f>
        <v/>
      </c>
      <c r="J175" s="171"/>
      <c r="K175" s="171"/>
      <c r="L175" s="172"/>
      <c r="M175" s="171"/>
      <c r="N175" s="172"/>
    </row>
    <row r="176" ht="15.75" customHeight="1">
      <c r="A176" s="170"/>
      <c r="B176" s="170"/>
      <c r="C176" s="170"/>
      <c r="D176" s="170"/>
      <c r="E176" s="170"/>
      <c r="F176" s="170" t="str">
        <f t="array" ref="F176">IFERROR(XLOOKUP(E176,'Indicadores Master'!$D$2:$D$65,'Indicadores Master'!$E$2:$E$65,""),"")</f>
        <v/>
      </c>
      <c r="G176" s="170" t="str">
        <f t="array" ref="G176">IFERROR(XLOOKUP(E176,'Indicadores Master'!$D$2:$D$65,'Indicadores Master'!$A$2:$A$65,""),"")</f>
        <v/>
      </c>
      <c r="H176" s="187" t="str">
        <f t="array" ref="H176">IFERROR(XLOOKUP(E176,'Indicadores Master'!$D$2:$D$65,'Indicadores Master'!$K$2:$K$65,""),"")</f>
        <v/>
      </c>
      <c r="I176" s="170" t="str">
        <f t="array" ref="I176">IFERROR(XLOOKUP(E176,'Indicadores Master'!$D$2:$D$65,'Indicadores Master'!$J$2:$J$65,""),"")</f>
        <v/>
      </c>
      <c r="J176" s="169"/>
      <c r="K176" s="169"/>
      <c r="L176" s="170"/>
      <c r="M176" s="169"/>
      <c r="N176" s="170"/>
    </row>
    <row r="177" ht="15.75" customHeight="1">
      <c r="A177" s="172"/>
      <c r="B177" s="172"/>
      <c r="C177" s="172"/>
      <c r="D177" s="172"/>
      <c r="E177" s="172"/>
      <c r="F177" s="172" t="str">
        <f t="array" ref="F177">IFERROR(XLOOKUP(E177,'Indicadores Master'!$D$2:$D$65,'Indicadores Master'!$E$2:$E$65,""),"")</f>
        <v/>
      </c>
      <c r="G177" s="172" t="str">
        <f t="array" ref="G177">IFERROR(XLOOKUP(E177,'Indicadores Master'!$D$2:$D$65,'Indicadores Master'!$A$2:$A$65,""),"")</f>
        <v/>
      </c>
      <c r="H177" s="188" t="str">
        <f t="array" ref="H177">IFERROR(XLOOKUP(E177,'Indicadores Master'!$D$2:$D$65,'Indicadores Master'!$K$2:$K$65,""),"")</f>
        <v/>
      </c>
      <c r="I177" s="172" t="str">
        <f t="array" ref="I177">IFERROR(XLOOKUP(E177,'Indicadores Master'!$D$2:$D$65,'Indicadores Master'!$J$2:$J$65,""),"")</f>
        <v/>
      </c>
      <c r="J177" s="171"/>
      <c r="K177" s="171"/>
      <c r="L177" s="172"/>
      <c r="M177" s="171"/>
      <c r="N177" s="172"/>
    </row>
    <row r="178" ht="15.75" customHeight="1">
      <c r="A178" s="170"/>
      <c r="B178" s="170"/>
      <c r="C178" s="170"/>
      <c r="D178" s="170"/>
      <c r="E178" s="170"/>
      <c r="F178" s="170" t="str">
        <f t="array" ref="F178">IFERROR(XLOOKUP(E178,'Indicadores Master'!$D$2:$D$65,'Indicadores Master'!$E$2:$E$65,""),"")</f>
        <v/>
      </c>
      <c r="G178" s="170" t="str">
        <f t="array" ref="G178">IFERROR(XLOOKUP(E178,'Indicadores Master'!$D$2:$D$65,'Indicadores Master'!$A$2:$A$65,""),"")</f>
        <v/>
      </c>
      <c r="H178" s="187" t="str">
        <f t="array" ref="H178">IFERROR(XLOOKUP(E178,'Indicadores Master'!$D$2:$D$65,'Indicadores Master'!$K$2:$K$65,""),"")</f>
        <v/>
      </c>
      <c r="I178" s="170" t="str">
        <f t="array" ref="I178">IFERROR(XLOOKUP(E178,'Indicadores Master'!$D$2:$D$65,'Indicadores Master'!$J$2:$J$65,""),"")</f>
        <v/>
      </c>
      <c r="J178" s="169"/>
      <c r="K178" s="169"/>
      <c r="L178" s="170"/>
      <c r="M178" s="169"/>
      <c r="N178" s="170"/>
    </row>
    <row r="179" ht="15.75" customHeight="1">
      <c r="A179" s="172"/>
      <c r="B179" s="172"/>
      <c r="C179" s="172"/>
      <c r="D179" s="172"/>
      <c r="E179" s="172"/>
      <c r="F179" s="172" t="str">
        <f t="array" ref="F179">IFERROR(XLOOKUP(E179,'Indicadores Master'!$D$2:$D$65,'Indicadores Master'!$E$2:$E$65,""),"")</f>
        <v/>
      </c>
      <c r="G179" s="172" t="str">
        <f t="array" ref="G179">IFERROR(XLOOKUP(E179,'Indicadores Master'!$D$2:$D$65,'Indicadores Master'!$A$2:$A$65,""),"")</f>
        <v/>
      </c>
      <c r="H179" s="188" t="str">
        <f t="array" ref="H179">IFERROR(XLOOKUP(E179,'Indicadores Master'!$D$2:$D$65,'Indicadores Master'!$K$2:$K$65,""),"")</f>
        <v/>
      </c>
      <c r="I179" s="172" t="str">
        <f t="array" ref="I179">IFERROR(XLOOKUP(E179,'Indicadores Master'!$D$2:$D$65,'Indicadores Master'!$J$2:$J$65,""),"")</f>
        <v/>
      </c>
      <c r="J179" s="171"/>
      <c r="K179" s="171"/>
      <c r="L179" s="172"/>
      <c r="M179" s="171"/>
      <c r="N179" s="172"/>
    </row>
    <row r="180" ht="15.75" customHeight="1">
      <c r="A180" s="170"/>
      <c r="B180" s="170"/>
      <c r="C180" s="170"/>
      <c r="D180" s="170"/>
      <c r="E180" s="170"/>
      <c r="F180" s="170" t="str">
        <f t="array" ref="F180">IFERROR(XLOOKUP(E180,'Indicadores Master'!$D$2:$D$65,'Indicadores Master'!$E$2:$E$65,""),"")</f>
        <v/>
      </c>
      <c r="G180" s="170" t="str">
        <f t="array" ref="G180">IFERROR(XLOOKUP(E180,'Indicadores Master'!$D$2:$D$65,'Indicadores Master'!$A$2:$A$65,""),"")</f>
        <v/>
      </c>
      <c r="H180" s="187" t="str">
        <f t="array" ref="H180">IFERROR(XLOOKUP(E180,'Indicadores Master'!$D$2:$D$65,'Indicadores Master'!$K$2:$K$65,""),"")</f>
        <v/>
      </c>
      <c r="I180" s="170" t="str">
        <f t="array" ref="I180">IFERROR(XLOOKUP(E180,'Indicadores Master'!$D$2:$D$65,'Indicadores Master'!$J$2:$J$65,""),"")</f>
        <v/>
      </c>
      <c r="J180" s="169"/>
      <c r="K180" s="169"/>
      <c r="L180" s="170"/>
      <c r="M180" s="169"/>
      <c r="N180" s="170"/>
    </row>
    <row r="181" ht="15.75" customHeight="1">
      <c r="A181" s="172"/>
      <c r="B181" s="172"/>
      <c r="C181" s="172"/>
      <c r="D181" s="172"/>
      <c r="E181" s="172"/>
      <c r="F181" s="172" t="str">
        <f t="array" ref="F181">IFERROR(XLOOKUP(E181,'Indicadores Master'!$D$2:$D$65,'Indicadores Master'!$E$2:$E$65,""),"")</f>
        <v/>
      </c>
      <c r="G181" s="172" t="str">
        <f t="array" ref="G181">IFERROR(XLOOKUP(E181,'Indicadores Master'!$D$2:$D$65,'Indicadores Master'!$A$2:$A$65,""),"")</f>
        <v/>
      </c>
      <c r="H181" s="188" t="str">
        <f t="array" ref="H181">IFERROR(XLOOKUP(E181,'Indicadores Master'!$D$2:$D$65,'Indicadores Master'!$K$2:$K$65,""),"")</f>
        <v/>
      </c>
      <c r="I181" s="172" t="str">
        <f t="array" ref="I181">IFERROR(XLOOKUP(E181,'Indicadores Master'!$D$2:$D$65,'Indicadores Master'!$J$2:$J$65,""),"")</f>
        <v/>
      </c>
      <c r="J181" s="171"/>
      <c r="K181" s="171"/>
      <c r="L181" s="172"/>
      <c r="M181" s="171"/>
      <c r="N181" s="172"/>
    </row>
    <row r="182" ht="15.75" customHeight="1">
      <c r="A182" s="170"/>
      <c r="B182" s="170"/>
      <c r="C182" s="170"/>
      <c r="D182" s="170"/>
      <c r="E182" s="170"/>
      <c r="F182" s="170" t="str">
        <f t="array" ref="F182">IFERROR(XLOOKUP(E182,'Indicadores Master'!$D$2:$D$65,'Indicadores Master'!$E$2:$E$65,""),"")</f>
        <v/>
      </c>
      <c r="G182" s="170" t="str">
        <f t="array" ref="G182">IFERROR(XLOOKUP(E182,'Indicadores Master'!$D$2:$D$65,'Indicadores Master'!$A$2:$A$65,""),"")</f>
        <v/>
      </c>
      <c r="H182" s="187" t="str">
        <f t="array" ref="H182">IFERROR(XLOOKUP(E182,'Indicadores Master'!$D$2:$D$65,'Indicadores Master'!$K$2:$K$65,""),"")</f>
        <v/>
      </c>
      <c r="I182" s="170" t="str">
        <f t="array" ref="I182">IFERROR(XLOOKUP(E182,'Indicadores Master'!$D$2:$D$65,'Indicadores Master'!$J$2:$J$65,""),"")</f>
        <v/>
      </c>
      <c r="J182" s="169"/>
      <c r="K182" s="169"/>
      <c r="L182" s="170"/>
      <c r="M182" s="169"/>
      <c r="N182" s="170"/>
    </row>
    <row r="183" ht="15.75" customHeight="1">
      <c r="A183" s="172"/>
      <c r="B183" s="172"/>
      <c r="C183" s="172"/>
      <c r="D183" s="172"/>
      <c r="E183" s="172"/>
      <c r="F183" s="172" t="str">
        <f t="array" ref="F183">IFERROR(XLOOKUP(E183,'Indicadores Master'!$D$2:$D$65,'Indicadores Master'!$E$2:$E$65,""),"")</f>
        <v/>
      </c>
      <c r="G183" s="172" t="str">
        <f t="array" ref="G183">IFERROR(XLOOKUP(E183,'Indicadores Master'!$D$2:$D$65,'Indicadores Master'!$A$2:$A$65,""),"")</f>
        <v/>
      </c>
      <c r="H183" s="188" t="str">
        <f t="array" ref="H183">IFERROR(XLOOKUP(E183,'Indicadores Master'!$D$2:$D$65,'Indicadores Master'!$K$2:$K$65,""),"")</f>
        <v/>
      </c>
      <c r="I183" s="172" t="str">
        <f t="array" ref="I183">IFERROR(XLOOKUP(E183,'Indicadores Master'!$D$2:$D$65,'Indicadores Master'!$J$2:$J$65,""),"")</f>
        <v/>
      </c>
      <c r="J183" s="171"/>
      <c r="K183" s="171"/>
      <c r="L183" s="172"/>
      <c r="M183" s="171"/>
      <c r="N183" s="172"/>
    </row>
    <row r="184" ht="15.75" customHeight="1">
      <c r="A184" s="170"/>
      <c r="B184" s="170"/>
      <c r="C184" s="170"/>
      <c r="D184" s="170"/>
      <c r="E184" s="170"/>
      <c r="F184" s="170" t="str">
        <f t="array" ref="F184">IFERROR(XLOOKUP(E184,'Indicadores Master'!$D$2:$D$65,'Indicadores Master'!$E$2:$E$65,""),"")</f>
        <v/>
      </c>
      <c r="G184" s="170" t="str">
        <f t="array" ref="G184">IFERROR(XLOOKUP(E184,'Indicadores Master'!$D$2:$D$65,'Indicadores Master'!$A$2:$A$65,""),"")</f>
        <v/>
      </c>
      <c r="H184" s="187" t="str">
        <f t="array" ref="H184">IFERROR(XLOOKUP(E184,'Indicadores Master'!$D$2:$D$65,'Indicadores Master'!$K$2:$K$65,""),"")</f>
        <v/>
      </c>
      <c r="I184" s="170" t="str">
        <f t="array" ref="I184">IFERROR(XLOOKUP(E184,'Indicadores Master'!$D$2:$D$65,'Indicadores Master'!$J$2:$J$65,""),"")</f>
        <v/>
      </c>
      <c r="J184" s="169"/>
      <c r="K184" s="169"/>
      <c r="L184" s="170"/>
      <c r="M184" s="169"/>
      <c r="N184" s="170"/>
    </row>
    <row r="185" ht="15.75" customHeight="1">
      <c r="A185" s="172"/>
      <c r="B185" s="172"/>
      <c r="C185" s="172"/>
      <c r="D185" s="172"/>
      <c r="E185" s="172"/>
      <c r="F185" s="172" t="str">
        <f t="array" ref="F185">IFERROR(XLOOKUP(E185,'Indicadores Master'!$D$2:$D$65,'Indicadores Master'!$E$2:$E$65,""),"")</f>
        <v/>
      </c>
      <c r="G185" s="172" t="str">
        <f t="array" ref="G185">IFERROR(XLOOKUP(E185,'Indicadores Master'!$D$2:$D$65,'Indicadores Master'!$A$2:$A$65,""),"")</f>
        <v/>
      </c>
      <c r="H185" s="188" t="str">
        <f t="array" ref="H185">IFERROR(XLOOKUP(E185,'Indicadores Master'!$D$2:$D$65,'Indicadores Master'!$K$2:$K$65,""),"")</f>
        <v/>
      </c>
      <c r="I185" s="172" t="str">
        <f t="array" ref="I185">IFERROR(XLOOKUP(E185,'Indicadores Master'!$D$2:$D$65,'Indicadores Master'!$J$2:$J$65,""),"")</f>
        <v/>
      </c>
      <c r="J185" s="171"/>
      <c r="K185" s="171"/>
      <c r="L185" s="172"/>
      <c r="M185" s="171"/>
      <c r="N185" s="172"/>
    </row>
    <row r="186" ht="15.75" customHeight="1">
      <c r="A186" s="170"/>
      <c r="B186" s="170"/>
      <c r="C186" s="170"/>
      <c r="D186" s="170"/>
      <c r="E186" s="170"/>
      <c r="F186" s="170" t="str">
        <f t="array" ref="F186">IFERROR(XLOOKUP(E186,'Indicadores Master'!$D$2:$D$65,'Indicadores Master'!$E$2:$E$65,""),"")</f>
        <v/>
      </c>
      <c r="G186" s="170" t="str">
        <f t="array" ref="G186">IFERROR(XLOOKUP(E186,'Indicadores Master'!$D$2:$D$65,'Indicadores Master'!$A$2:$A$65,""),"")</f>
        <v/>
      </c>
      <c r="H186" s="187" t="str">
        <f t="array" ref="H186">IFERROR(XLOOKUP(E186,'Indicadores Master'!$D$2:$D$65,'Indicadores Master'!$K$2:$K$65,""),"")</f>
        <v/>
      </c>
      <c r="I186" s="170" t="str">
        <f t="array" ref="I186">IFERROR(XLOOKUP(E186,'Indicadores Master'!$D$2:$D$65,'Indicadores Master'!$J$2:$J$65,""),"")</f>
        <v/>
      </c>
      <c r="J186" s="169"/>
      <c r="K186" s="169"/>
      <c r="L186" s="170"/>
      <c r="M186" s="169"/>
      <c r="N186" s="170"/>
    </row>
    <row r="187" ht="15.75" customHeight="1">
      <c r="A187" s="172"/>
      <c r="B187" s="172"/>
      <c r="C187" s="172"/>
      <c r="D187" s="172"/>
      <c r="E187" s="172"/>
      <c r="F187" s="172" t="str">
        <f t="array" ref="F187">IFERROR(XLOOKUP(E187,'Indicadores Master'!$D$2:$D$65,'Indicadores Master'!$E$2:$E$65,""),"")</f>
        <v/>
      </c>
      <c r="G187" s="172" t="str">
        <f t="array" ref="G187">IFERROR(XLOOKUP(E187,'Indicadores Master'!$D$2:$D$65,'Indicadores Master'!$A$2:$A$65,""),"")</f>
        <v/>
      </c>
      <c r="H187" s="188" t="str">
        <f t="array" ref="H187">IFERROR(XLOOKUP(E187,'Indicadores Master'!$D$2:$D$65,'Indicadores Master'!$K$2:$K$65,""),"")</f>
        <v/>
      </c>
      <c r="I187" s="172" t="str">
        <f t="array" ref="I187">IFERROR(XLOOKUP(E187,'Indicadores Master'!$D$2:$D$65,'Indicadores Master'!$J$2:$J$65,""),"")</f>
        <v/>
      </c>
      <c r="J187" s="171"/>
      <c r="K187" s="171"/>
      <c r="L187" s="172"/>
      <c r="M187" s="171"/>
      <c r="N187" s="172"/>
    </row>
    <row r="188" ht="15.75" customHeight="1">
      <c r="A188" s="170"/>
      <c r="B188" s="170"/>
      <c r="C188" s="170"/>
      <c r="D188" s="170"/>
      <c r="E188" s="170"/>
      <c r="F188" s="170" t="str">
        <f t="array" ref="F188">IFERROR(XLOOKUP(E188,'Indicadores Master'!$D$2:$D$65,'Indicadores Master'!$E$2:$E$65,""),"")</f>
        <v/>
      </c>
      <c r="G188" s="170" t="str">
        <f t="array" ref="G188">IFERROR(XLOOKUP(E188,'Indicadores Master'!$D$2:$D$65,'Indicadores Master'!$A$2:$A$65,""),"")</f>
        <v/>
      </c>
      <c r="H188" s="187" t="str">
        <f t="array" ref="H188">IFERROR(XLOOKUP(E188,'Indicadores Master'!$D$2:$D$65,'Indicadores Master'!$K$2:$K$65,""),"")</f>
        <v/>
      </c>
      <c r="I188" s="170" t="str">
        <f t="array" ref="I188">IFERROR(XLOOKUP(E188,'Indicadores Master'!$D$2:$D$65,'Indicadores Master'!$J$2:$J$65,""),"")</f>
        <v/>
      </c>
      <c r="J188" s="169"/>
      <c r="K188" s="169"/>
      <c r="L188" s="170"/>
      <c r="M188" s="169"/>
      <c r="N188" s="170"/>
    </row>
    <row r="189" ht="15.75" customHeight="1">
      <c r="A189" s="172"/>
      <c r="B189" s="172"/>
      <c r="C189" s="172"/>
      <c r="D189" s="172"/>
      <c r="E189" s="172"/>
      <c r="F189" s="172" t="str">
        <f t="array" ref="F189">IFERROR(XLOOKUP(E189,'Indicadores Master'!$D$2:$D$65,'Indicadores Master'!$E$2:$E$65,""),"")</f>
        <v/>
      </c>
      <c r="G189" s="172" t="str">
        <f t="array" ref="G189">IFERROR(XLOOKUP(E189,'Indicadores Master'!$D$2:$D$65,'Indicadores Master'!$A$2:$A$65,""),"")</f>
        <v/>
      </c>
      <c r="H189" s="188" t="str">
        <f t="array" ref="H189">IFERROR(XLOOKUP(E189,'Indicadores Master'!$D$2:$D$65,'Indicadores Master'!$K$2:$K$65,""),"")</f>
        <v/>
      </c>
      <c r="I189" s="172" t="str">
        <f t="array" ref="I189">IFERROR(XLOOKUP(E189,'Indicadores Master'!$D$2:$D$65,'Indicadores Master'!$J$2:$J$65,""),"")</f>
        <v/>
      </c>
      <c r="J189" s="171"/>
      <c r="K189" s="171"/>
      <c r="L189" s="172"/>
      <c r="M189" s="171"/>
      <c r="N189" s="172"/>
    </row>
    <row r="190" ht="15.75" customHeight="1">
      <c r="A190" s="170"/>
      <c r="B190" s="170"/>
      <c r="C190" s="170"/>
      <c r="D190" s="170"/>
      <c r="E190" s="170"/>
      <c r="F190" s="170" t="str">
        <f t="array" ref="F190">IFERROR(XLOOKUP(E190,'Indicadores Master'!$D$2:$D$65,'Indicadores Master'!$E$2:$E$65,""),"")</f>
        <v/>
      </c>
      <c r="G190" s="170" t="str">
        <f t="array" ref="G190">IFERROR(XLOOKUP(E190,'Indicadores Master'!$D$2:$D$65,'Indicadores Master'!$A$2:$A$65,""),"")</f>
        <v/>
      </c>
      <c r="H190" s="187" t="str">
        <f t="array" ref="H190">IFERROR(XLOOKUP(E190,'Indicadores Master'!$D$2:$D$65,'Indicadores Master'!$K$2:$K$65,""),"")</f>
        <v/>
      </c>
      <c r="I190" s="170" t="str">
        <f t="array" ref="I190">IFERROR(XLOOKUP(E190,'Indicadores Master'!$D$2:$D$65,'Indicadores Master'!$J$2:$J$65,""),"")</f>
        <v/>
      </c>
      <c r="J190" s="169"/>
      <c r="K190" s="169"/>
      <c r="L190" s="170"/>
      <c r="M190" s="169"/>
      <c r="N190" s="170"/>
    </row>
    <row r="191" ht="15.75" customHeight="1">
      <c r="A191" s="172"/>
      <c r="B191" s="172"/>
      <c r="C191" s="172"/>
      <c r="D191" s="172"/>
      <c r="E191" s="172"/>
      <c r="F191" s="172" t="str">
        <f t="array" ref="F191">IFERROR(XLOOKUP(E191,'Indicadores Master'!$D$2:$D$65,'Indicadores Master'!$E$2:$E$65,""),"")</f>
        <v/>
      </c>
      <c r="G191" s="172" t="str">
        <f t="array" ref="G191">IFERROR(XLOOKUP(E191,'Indicadores Master'!$D$2:$D$65,'Indicadores Master'!$A$2:$A$65,""),"")</f>
        <v/>
      </c>
      <c r="H191" s="188" t="str">
        <f t="array" ref="H191">IFERROR(XLOOKUP(E191,'Indicadores Master'!$D$2:$D$65,'Indicadores Master'!$K$2:$K$65,""),"")</f>
        <v/>
      </c>
      <c r="I191" s="172" t="str">
        <f t="array" ref="I191">IFERROR(XLOOKUP(E191,'Indicadores Master'!$D$2:$D$65,'Indicadores Master'!$J$2:$J$65,""),"")</f>
        <v/>
      </c>
      <c r="J191" s="171"/>
      <c r="K191" s="171"/>
      <c r="L191" s="172"/>
      <c r="M191" s="171"/>
      <c r="N191" s="172"/>
    </row>
    <row r="192" ht="15.75" customHeight="1">
      <c r="A192" s="170"/>
      <c r="B192" s="170"/>
      <c r="C192" s="170"/>
      <c r="D192" s="170"/>
      <c r="E192" s="170"/>
      <c r="F192" s="170" t="str">
        <f t="array" ref="F192">IFERROR(XLOOKUP(E192,'Indicadores Master'!$D$2:$D$65,'Indicadores Master'!$E$2:$E$65,""),"")</f>
        <v/>
      </c>
      <c r="G192" s="170" t="str">
        <f t="array" ref="G192">IFERROR(XLOOKUP(E192,'Indicadores Master'!$D$2:$D$65,'Indicadores Master'!$A$2:$A$65,""),"")</f>
        <v/>
      </c>
      <c r="H192" s="187" t="str">
        <f t="array" ref="H192">IFERROR(XLOOKUP(E192,'Indicadores Master'!$D$2:$D$65,'Indicadores Master'!$K$2:$K$65,""),"")</f>
        <v/>
      </c>
      <c r="I192" s="170" t="str">
        <f t="array" ref="I192">IFERROR(XLOOKUP(E192,'Indicadores Master'!$D$2:$D$65,'Indicadores Master'!$J$2:$J$65,""),"")</f>
        <v/>
      </c>
      <c r="J192" s="169"/>
      <c r="K192" s="169"/>
      <c r="L192" s="170"/>
      <c r="M192" s="169"/>
      <c r="N192" s="170"/>
    </row>
    <row r="193" ht="15.75" customHeight="1">
      <c r="A193" s="172"/>
      <c r="B193" s="172"/>
      <c r="C193" s="172"/>
      <c r="D193" s="172"/>
      <c r="E193" s="172"/>
      <c r="F193" s="172" t="str">
        <f t="array" ref="F193">IFERROR(XLOOKUP(E193,'Indicadores Master'!$D$2:$D$65,'Indicadores Master'!$E$2:$E$65,""),"")</f>
        <v/>
      </c>
      <c r="G193" s="172" t="str">
        <f t="array" ref="G193">IFERROR(XLOOKUP(E193,'Indicadores Master'!$D$2:$D$65,'Indicadores Master'!$A$2:$A$65,""),"")</f>
        <v/>
      </c>
      <c r="H193" s="188" t="str">
        <f t="array" ref="H193">IFERROR(XLOOKUP(E193,'Indicadores Master'!$D$2:$D$65,'Indicadores Master'!$K$2:$K$65,""),"")</f>
        <v/>
      </c>
      <c r="I193" s="172" t="str">
        <f t="array" ref="I193">IFERROR(XLOOKUP(E193,'Indicadores Master'!$D$2:$D$65,'Indicadores Master'!$J$2:$J$65,""),"")</f>
        <v/>
      </c>
      <c r="J193" s="171"/>
      <c r="K193" s="171"/>
      <c r="L193" s="172"/>
      <c r="M193" s="171"/>
      <c r="N193" s="172"/>
    </row>
    <row r="194" ht="15.75" customHeight="1">
      <c r="A194" s="170"/>
      <c r="B194" s="170"/>
      <c r="C194" s="170"/>
      <c r="D194" s="170"/>
      <c r="E194" s="170"/>
      <c r="F194" s="170" t="str">
        <f t="array" ref="F194">IFERROR(XLOOKUP(E194,'Indicadores Master'!$D$2:$D$65,'Indicadores Master'!$E$2:$E$65,""),"")</f>
        <v/>
      </c>
      <c r="G194" s="170" t="str">
        <f t="array" ref="G194">IFERROR(XLOOKUP(E194,'Indicadores Master'!$D$2:$D$65,'Indicadores Master'!$A$2:$A$65,""),"")</f>
        <v/>
      </c>
      <c r="H194" s="187" t="str">
        <f t="array" ref="H194">IFERROR(XLOOKUP(E194,'Indicadores Master'!$D$2:$D$65,'Indicadores Master'!$K$2:$K$65,""),"")</f>
        <v/>
      </c>
      <c r="I194" s="170" t="str">
        <f t="array" ref="I194">IFERROR(XLOOKUP(E194,'Indicadores Master'!$D$2:$D$65,'Indicadores Master'!$J$2:$J$65,""),"")</f>
        <v/>
      </c>
      <c r="J194" s="169"/>
      <c r="K194" s="169"/>
      <c r="L194" s="170"/>
      <c r="M194" s="169"/>
      <c r="N194" s="170"/>
    </row>
    <row r="195" ht="15.75" customHeight="1">
      <c r="A195" s="172"/>
      <c r="B195" s="172"/>
      <c r="C195" s="172"/>
      <c r="D195" s="172"/>
      <c r="E195" s="172"/>
      <c r="F195" s="172" t="str">
        <f t="array" ref="F195">IFERROR(XLOOKUP(E195,'Indicadores Master'!$D$2:$D$65,'Indicadores Master'!$E$2:$E$65,""),"")</f>
        <v/>
      </c>
      <c r="G195" s="172" t="str">
        <f t="array" ref="G195">IFERROR(XLOOKUP(E195,'Indicadores Master'!$D$2:$D$65,'Indicadores Master'!$A$2:$A$65,""),"")</f>
        <v/>
      </c>
      <c r="H195" s="188" t="str">
        <f t="array" ref="H195">IFERROR(XLOOKUP(E195,'Indicadores Master'!$D$2:$D$65,'Indicadores Master'!$K$2:$K$65,""),"")</f>
        <v/>
      </c>
      <c r="I195" s="172" t="str">
        <f t="array" ref="I195">IFERROR(XLOOKUP(E195,'Indicadores Master'!$D$2:$D$65,'Indicadores Master'!$J$2:$J$65,""),"")</f>
        <v/>
      </c>
      <c r="J195" s="171"/>
      <c r="K195" s="171"/>
      <c r="L195" s="172"/>
      <c r="M195" s="171"/>
      <c r="N195" s="172"/>
    </row>
    <row r="196" ht="15.75" customHeight="1">
      <c r="A196" s="170"/>
      <c r="B196" s="170"/>
      <c r="C196" s="170"/>
      <c r="D196" s="170"/>
      <c r="E196" s="170"/>
      <c r="F196" s="170" t="str">
        <f t="array" ref="F196">IFERROR(XLOOKUP(E196,'Indicadores Master'!$D$2:$D$65,'Indicadores Master'!$E$2:$E$65,""),"")</f>
        <v/>
      </c>
      <c r="G196" s="170" t="str">
        <f t="array" ref="G196">IFERROR(XLOOKUP(E196,'Indicadores Master'!$D$2:$D$65,'Indicadores Master'!$A$2:$A$65,""),"")</f>
        <v/>
      </c>
      <c r="H196" s="187" t="str">
        <f t="array" ref="H196">IFERROR(XLOOKUP(E196,'Indicadores Master'!$D$2:$D$65,'Indicadores Master'!$K$2:$K$65,""),"")</f>
        <v/>
      </c>
      <c r="I196" s="170" t="str">
        <f t="array" ref="I196">IFERROR(XLOOKUP(E196,'Indicadores Master'!$D$2:$D$65,'Indicadores Master'!$J$2:$J$65,""),"")</f>
        <v/>
      </c>
      <c r="J196" s="169"/>
      <c r="K196" s="169"/>
      <c r="L196" s="170"/>
      <c r="M196" s="169"/>
      <c r="N196" s="170"/>
    </row>
    <row r="197" ht="15.75" customHeight="1">
      <c r="A197" s="172"/>
      <c r="B197" s="172"/>
      <c r="C197" s="172"/>
      <c r="D197" s="172"/>
      <c r="E197" s="172"/>
      <c r="F197" s="172" t="str">
        <f t="array" ref="F197">IFERROR(XLOOKUP(E197,'Indicadores Master'!$D$2:$D$65,'Indicadores Master'!$E$2:$E$65,""),"")</f>
        <v/>
      </c>
      <c r="G197" s="172" t="str">
        <f t="array" ref="G197">IFERROR(XLOOKUP(E197,'Indicadores Master'!$D$2:$D$65,'Indicadores Master'!$A$2:$A$65,""),"")</f>
        <v/>
      </c>
      <c r="H197" s="188" t="str">
        <f t="array" ref="H197">IFERROR(XLOOKUP(E197,'Indicadores Master'!$D$2:$D$65,'Indicadores Master'!$K$2:$K$65,""),"")</f>
        <v/>
      </c>
      <c r="I197" s="172" t="str">
        <f t="array" ref="I197">IFERROR(XLOOKUP(E197,'Indicadores Master'!$D$2:$D$65,'Indicadores Master'!$J$2:$J$65,""),"")</f>
        <v/>
      </c>
      <c r="J197" s="171"/>
      <c r="K197" s="171"/>
      <c r="L197" s="172"/>
      <c r="M197" s="171"/>
      <c r="N197" s="172"/>
    </row>
    <row r="198" ht="15.75" customHeight="1">
      <c r="A198" s="170"/>
      <c r="B198" s="170"/>
      <c r="C198" s="170"/>
      <c r="D198" s="170"/>
      <c r="E198" s="170"/>
      <c r="F198" s="170" t="str">
        <f t="array" ref="F198">IFERROR(XLOOKUP(E198,'Indicadores Master'!$D$2:$D$65,'Indicadores Master'!$E$2:$E$65,""),"")</f>
        <v/>
      </c>
      <c r="G198" s="170" t="str">
        <f t="array" ref="G198">IFERROR(XLOOKUP(E198,'Indicadores Master'!$D$2:$D$65,'Indicadores Master'!$A$2:$A$65,""),"")</f>
        <v/>
      </c>
      <c r="H198" s="187" t="str">
        <f t="array" ref="H198">IFERROR(XLOOKUP(E198,'Indicadores Master'!$D$2:$D$65,'Indicadores Master'!$K$2:$K$65,""),"")</f>
        <v/>
      </c>
      <c r="I198" s="170" t="str">
        <f t="array" ref="I198">IFERROR(XLOOKUP(E198,'Indicadores Master'!$D$2:$D$65,'Indicadores Master'!$J$2:$J$65,""),"")</f>
        <v/>
      </c>
      <c r="J198" s="169"/>
      <c r="K198" s="169"/>
      <c r="L198" s="170"/>
      <c r="M198" s="169"/>
      <c r="N198" s="170"/>
    </row>
    <row r="199" ht="15.75" customHeight="1">
      <c r="A199" s="172"/>
      <c r="B199" s="172"/>
      <c r="C199" s="172"/>
      <c r="D199" s="172"/>
      <c r="E199" s="172"/>
      <c r="F199" s="172" t="str">
        <f t="array" ref="F199">IFERROR(XLOOKUP(E199,'Indicadores Master'!$D$2:$D$65,'Indicadores Master'!$E$2:$E$65,""),"")</f>
        <v/>
      </c>
      <c r="G199" s="172" t="str">
        <f t="array" ref="G199">IFERROR(XLOOKUP(E199,'Indicadores Master'!$D$2:$D$65,'Indicadores Master'!$A$2:$A$65,""),"")</f>
        <v/>
      </c>
      <c r="H199" s="188" t="str">
        <f t="array" ref="H199">IFERROR(XLOOKUP(E199,'Indicadores Master'!$D$2:$D$65,'Indicadores Master'!$K$2:$K$65,""),"")</f>
        <v/>
      </c>
      <c r="I199" s="172" t="str">
        <f t="array" ref="I199">IFERROR(XLOOKUP(E199,'Indicadores Master'!$D$2:$D$65,'Indicadores Master'!$J$2:$J$65,""),"")</f>
        <v/>
      </c>
      <c r="J199" s="171"/>
      <c r="K199" s="171"/>
      <c r="L199" s="172"/>
      <c r="M199" s="171"/>
      <c r="N199" s="172"/>
    </row>
    <row r="200" ht="15.75" customHeight="1">
      <c r="A200" s="170"/>
      <c r="B200" s="170"/>
      <c r="C200" s="170"/>
      <c r="D200" s="170"/>
      <c r="E200" s="170"/>
      <c r="F200" s="170" t="str">
        <f t="array" ref="F200">IFERROR(XLOOKUP(E200,'Indicadores Master'!$D$2:$D$65,'Indicadores Master'!$E$2:$E$65,""),"")</f>
        <v/>
      </c>
      <c r="G200" s="170" t="str">
        <f t="array" ref="G200">IFERROR(XLOOKUP(E200,'Indicadores Master'!$D$2:$D$65,'Indicadores Master'!$A$2:$A$65,""),"")</f>
        <v/>
      </c>
      <c r="H200" s="187" t="str">
        <f t="array" ref="H200">IFERROR(XLOOKUP(E200,'Indicadores Master'!$D$2:$D$65,'Indicadores Master'!$K$2:$K$65,""),"")</f>
        <v/>
      </c>
      <c r="I200" s="170" t="str">
        <f t="array" ref="I200">IFERROR(XLOOKUP(E200,'Indicadores Master'!$D$2:$D$65,'Indicadores Master'!$J$2:$J$65,""),"")</f>
        <v/>
      </c>
      <c r="J200" s="169"/>
      <c r="K200" s="169"/>
      <c r="L200" s="170"/>
      <c r="M200" s="169"/>
      <c r="N200" s="170"/>
    </row>
    <row r="201" ht="15.75" customHeight="1">
      <c r="A201" s="172"/>
      <c r="B201" s="172"/>
      <c r="C201" s="172"/>
      <c r="D201" s="172"/>
      <c r="E201" s="172"/>
      <c r="F201" s="172" t="str">
        <f t="array" ref="F201">IFERROR(XLOOKUP(E201,'Indicadores Master'!$D$2:$D$65,'Indicadores Master'!$E$2:$E$65,""),"")</f>
        <v/>
      </c>
      <c r="G201" s="172" t="str">
        <f t="array" ref="G201">IFERROR(XLOOKUP(E201,'Indicadores Master'!$D$2:$D$65,'Indicadores Master'!$A$2:$A$65,""),"")</f>
        <v/>
      </c>
      <c r="H201" s="188" t="str">
        <f t="array" ref="H201">IFERROR(XLOOKUP(E201,'Indicadores Master'!$D$2:$D$65,'Indicadores Master'!$K$2:$K$65,""),"")</f>
        <v/>
      </c>
      <c r="I201" s="172" t="str">
        <f t="array" ref="I201">IFERROR(XLOOKUP(E201,'Indicadores Master'!$D$2:$D$65,'Indicadores Master'!$J$2:$J$65,""),"")</f>
        <v/>
      </c>
      <c r="J201" s="171"/>
      <c r="K201" s="171"/>
      <c r="L201" s="172"/>
      <c r="M201" s="171"/>
      <c r="N201" s="172"/>
    </row>
    <row r="202" ht="15.75" customHeight="1">
      <c r="A202" s="170"/>
      <c r="B202" s="170"/>
      <c r="C202" s="170"/>
      <c r="D202" s="170"/>
      <c r="E202" s="170"/>
      <c r="F202" s="170" t="str">
        <f t="array" ref="F202">IFERROR(XLOOKUP(E202,'Indicadores Master'!$D$2:$D$65,'Indicadores Master'!$E$2:$E$65,""),"")</f>
        <v/>
      </c>
      <c r="G202" s="170" t="str">
        <f t="array" ref="G202">IFERROR(XLOOKUP(E202,'Indicadores Master'!$D$2:$D$65,'Indicadores Master'!$A$2:$A$65,""),"")</f>
        <v/>
      </c>
      <c r="H202" s="187" t="str">
        <f t="array" ref="H202">IFERROR(XLOOKUP(E202,'Indicadores Master'!$D$2:$D$65,'Indicadores Master'!$K$2:$K$65,""),"")</f>
        <v/>
      </c>
      <c r="I202" s="170" t="str">
        <f t="array" ref="I202">IFERROR(XLOOKUP(E202,'Indicadores Master'!$D$2:$D$65,'Indicadores Master'!$J$2:$J$65,""),"")</f>
        <v/>
      </c>
      <c r="J202" s="169"/>
      <c r="K202" s="169"/>
      <c r="L202" s="170"/>
      <c r="M202" s="169"/>
      <c r="N202" s="170"/>
    </row>
    <row r="203" ht="15.75" customHeight="1">
      <c r="A203" s="172"/>
      <c r="B203" s="172"/>
      <c r="C203" s="172"/>
      <c r="D203" s="172"/>
      <c r="E203" s="172"/>
      <c r="F203" s="172" t="str">
        <f t="array" ref="F203">IFERROR(XLOOKUP(E203,'Indicadores Master'!$D$2:$D$65,'Indicadores Master'!$E$2:$E$65,""),"")</f>
        <v/>
      </c>
      <c r="G203" s="172" t="str">
        <f t="array" ref="G203">IFERROR(XLOOKUP(E203,'Indicadores Master'!$D$2:$D$65,'Indicadores Master'!$A$2:$A$65,""),"")</f>
        <v/>
      </c>
      <c r="H203" s="188" t="str">
        <f t="array" ref="H203">IFERROR(XLOOKUP(E203,'Indicadores Master'!$D$2:$D$65,'Indicadores Master'!$K$2:$K$65,""),"")</f>
        <v/>
      </c>
      <c r="I203" s="172" t="str">
        <f t="array" ref="I203">IFERROR(XLOOKUP(E203,'Indicadores Master'!$D$2:$D$65,'Indicadores Master'!$J$2:$J$65,""),"")</f>
        <v/>
      </c>
      <c r="J203" s="171"/>
      <c r="K203" s="171"/>
      <c r="L203" s="172"/>
      <c r="M203" s="171"/>
      <c r="N203" s="172"/>
    </row>
    <row r="204" ht="15.75" customHeight="1">
      <c r="A204" s="170"/>
      <c r="B204" s="170"/>
      <c r="C204" s="170"/>
      <c r="D204" s="170"/>
      <c r="E204" s="170"/>
      <c r="F204" s="170" t="str">
        <f t="array" ref="F204">IFERROR(XLOOKUP(E204,'Indicadores Master'!$D$2:$D$65,'Indicadores Master'!$E$2:$E$65,""),"")</f>
        <v/>
      </c>
      <c r="G204" s="170" t="str">
        <f t="array" ref="G204">IFERROR(XLOOKUP(E204,'Indicadores Master'!$D$2:$D$65,'Indicadores Master'!$A$2:$A$65,""),"")</f>
        <v/>
      </c>
      <c r="H204" s="187" t="str">
        <f t="array" ref="H204">IFERROR(XLOOKUP(E204,'Indicadores Master'!$D$2:$D$65,'Indicadores Master'!$K$2:$K$65,""),"")</f>
        <v/>
      </c>
      <c r="I204" s="170" t="str">
        <f t="array" ref="I204">IFERROR(XLOOKUP(E204,'Indicadores Master'!$D$2:$D$65,'Indicadores Master'!$J$2:$J$65,""),"")</f>
        <v/>
      </c>
      <c r="J204" s="169"/>
      <c r="K204" s="169"/>
      <c r="L204" s="170"/>
      <c r="M204" s="169"/>
      <c r="N204" s="170"/>
    </row>
    <row r="205" ht="15.75" customHeight="1">
      <c r="A205" s="172"/>
      <c r="B205" s="172"/>
      <c r="C205" s="172"/>
      <c r="D205" s="172"/>
      <c r="E205" s="172"/>
      <c r="F205" s="172" t="str">
        <f t="array" ref="F205">IFERROR(XLOOKUP(E205,'Indicadores Master'!$D$2:$D$65,'Indicadores Master'!$E$2:$E$65,""),"")</f>
        <v/>
      </c>
      <c r="G205" s="172" t="str">
        <f t="array" ref="G205">IFERROR(XLOOKUP(E205,'Indicadores Master'!$D$2:$D$65,'Indicadores Master'!$A$2:$A$65,""),"")</f>
        <v/>
      </c>
      <c r="H205" s="188" t="str">
        <f t="array" ref="H205">IFERROR(XLOOKUP(E205,'Indicadores Master'!$D$2:$D$65,'Indicadores Master'!$K$2:$K$65,""),"")</f>
        <v/>
      </c>
      <c r="I205" s="172" t="str">
        <f t="array" ref="I205">IFERROR(XLOOKUP(E205,'Indicadores Master'!$D$2:$D$65,'Indicadores Master'!$J$2:$J$65,""),"")</f>
        <v/>
      </c>
      <c r="J205" s="171"/>
      <c r="K205" s="171"/>
      <c r="L205" s="172"/>
      <c r="M205" s="171"/>
      <c r="N205" s="172"/>
    </row>
    <row r="206" ht="15.75" customHeight="1">
      <c r="A206" s="170"/>
      <c r="B206" s="170"/>
      <c r="C206" s="170"/>
      <c r="D206" s="170"/>
      <c r="E206" s="170"/>
      <c r="F206" s="170" t="str">
        <f t="array" ref="F206">IFERROR(XLOOKUP(E206,'Indicadores Master'!$D$2:$D$65,'Indicadores Master'!$E$2:$E$65,""),"")</f>
        <v/>
      </c>
      <c r="G206" s="170" t="str">
        <f t="array" ref="G206">IFERROR(XLOOKUP(E206,'Indicadores Master'!$D$2:$D$65,'Indicadores Master'!$A$2:$A$65,""),"")</f>
        <v/>
      </c>
      <c r="H206" s="187" t="str">
        <f t="array" ref="H206">IFERROR(XLOOKUP(E206,'Indicadores Master'!$D$2:$D$65,'Indicadores Master'!$K$2:$K$65,""),"")</f>
        <v/>
      </c>
      <c r="I206" s="170" t="str">
        <f t="array" ref="I206">IFERROR(XLOOKUP(E206,'Indicadores Master'!$D$2:$D$65,'Indicadores Master'!$J$2:$J$65,""),"")</f>
        <v/>
      </c>
      <c r="J206" s="169"/>
      <c r="K206" s="169"/>
      <c r="L206" s="170"/>
      <c r="M206" s="169"/>
      <c r="N206" s="170"/>
    </row>
    <row r="207" ht="15.75" customHeight="1">
      <c r="A207" s="172"/>
      <c r="B207" s="172"/>
      <c r="C207" s="172"/>
      <c r="D207" s="172"/>
      <c r="E207" s="172"/>
      <c r="F207" s="172" t="str">
        <f t="array" ref="F207">IFERROR(XLOOKUP(E207,'Indicadores Master'!$D$2:$D$65,'Indicadores Master'!$E$2:$E$65,""),"")</f>
        <v/>
      </c>
      <c r="G207" s="172" t="str">
        <f t="array" ref="G207">IFERROR(XLOOKUP(E207,'Indicadores Master'!$D$2:$D$65,'Indicadores Master'!$A$2:$A$65,""),"")</f>
        <v/>
      </c>
      <c r="H207" s="188" t="str">
        <f t="array" ref="H207">IFERROR(XLOOKUP(E207,'Indicadores Master'!$D$2:$D$65,'Indicadores Master'!$K$2:$K$65,""),"")</f>
        <v/>
      </c>
      <c r="I207" s="172" t="str">
        <f t="array" ref="I207">IFERROR(XLOOKUP(E207,'Indicadores Master'!$D$2:$D$65,'Indicadores Master'!$J$2:$J$65,""),"")</f>
        <v/>
      </c>
      <c r="J207" s="171"/>
      <c r="K207" s="171"/>
      <c r="L207" s="172"/>
      <c r="M207" s="171"/>
      <c r="N207" s="172"/>
    </row>
    <row r="208" ht="15.75" customHeight="1">
      <c r="A208" s="170"/>
      <c r="B208" s="170"/>
      <c r="C208" s="170"/>
      <c r="D208" s="170"/>
      <c r="E208" s="170"/>
      <c r="F208" s="170" t="str">
        <f t="array" ref="F208">IFERROR(XLOOKUP(E208,'Indicadores Master'!$D$2:$D$65,'Indicadores Master'!$E$2:$E$65,""),"")</f>
        <v/>
      </c>
      <c r="G208" s="170" t="str">
        <f t="array" ref="G208">IFERROR(XLOOKUP(E208,'Indicadores Master'!$D$2:$D$65,'Indicadores Master'!$A$2:$A$65,""),"")</f>
        <v/>
      </c>
      <c r="H208" s="187" t="str">
        <f t="array" ref="H208">IFERROR(XLOOKUP(E208,'Indicadores Master'!$D$2:$D$65,'Indicadores Master'!$K$2:$K$65,""),"")</f>
        <v/>
      </c>
      <c r="I208" s="170" t="str">
        <f t="array" ref="I208">IFERROR(XLOOKUP(E208,'Indicadores Master'!$D$2:$D$65,'Indicadores Master'!$J$2:$J$65,""),"")</f>
        <v/>
      </c>
      <c r="J208" s="169"/>
      <c r="K208" s="169"/>
      <c r="L208" s="170"/>
      <c r="M208" s="169"/>
      <c r="N208" s="170"/>
    </row>
    <row r="209" ht="15.75" customHeight="1">
      <c r="A209" s="172"/>
      <c r="B209" s="172"/>
      <c r="C209" s="172"/>
      <c r="D209" s="172"/>
      <c r="E209" s="172"/>
      <c r="F209" s="172" t="str">
        <f t="array" ref="F209">IFERROR(XLOOKUP(E209,'Indicadores Master'!$D$2:$D$65,'Indicadores Master'!$E$2:$E$65,""),"")</f>
        <v/>
      </c>
      <c r="G209" s="172" t="str">
        <f t="array" ref="G209">IFERROR(XLOOKUP(E209,'Indicadores Master'!$D$2:$D$65,'Indicadores Master'!$A$2:$A$65,""),"")</f>
        <v/>
      </c>
      <c r="H209" s="188" t="str">
        <f t="array" ref="H209">IFERROR(XLOOKUP(E209,'Indicadores Master'!$D$2:$D$65,'Indicadores Master'!$K$2:$K$65,""),"")</f>
        <v/>
      </c>
      <c r="I209" s="172" t="str">
        <f t="array" ref="I209">IFERROR(XLOOKUP(E209,'Indicadores Master'!$D$2:$D$65,'Indicadores Master'!$J$2:$J$65,""),"")</f>
        <v/>
      </c>
      <c r="J209" s="171"/>
      <c r="K209" s="171"/>
      <c r="L209" s="172"/>
      <c r="M209" s="171"/>
      <c r="N209" s="172"/>
    </row>
    <row r="210" ht="15.75" customHeight="1">
      <c r="A210" s="170"/>
      <c r="B210" s="170"/>
      <c r="C210" s="170"/>
      <c r="D210" s="170"/>
      <c r="E210" s="170"/>
      <c r="F210" s="170" t="str">
        <f t="array" ref="F210">IFERROR(XLOOKUP(E210,'Indicadores Master'!$D$2:$D$65,'Indicadores Master'!$E$2:$E$65,""),"")</f>
        <v/>
      </c>
      <c r="G210" s="170" t="str">
        <f t="array" ref="G210">IFERROR(XLOOKUP(E210,'Indicadores Master'!$D$2:$D$65,'Indicadores Master'!$A$2:$A$65,""),"")</f>
        <v/>
      </c>
      <c r="H210" s="187" t="str">
        <f t="array" ref="H210">IFERROR(XLOOKUP(E210,'Indicadores Master'!$D$2:$D$65,'Indicadores Master'!$K$2:$K$65,""),"")</f>
        <v/>
      </c>
      <c r="I210" s="170" t="str">
        <f t="array" ref="I210">IFERROR(XLOOKUP(E210,'Indicadores Master'!$D$2:$D$65,'Indicadores Master'!$J$2:$J$65,""),"")</f>
        <v/>
      </c>
      <c r="J210" s="169"/>
      <c r="K210" s="169"/>
      <c r="L210" s="170"/>
      <c r="M210" s="169"/>
      <c r="N210" s="170"/>
    </row>
    <row r="211" ht="15.75" customHeight="1">
      <c r="A211" s="172"/>
      <c r="B211" s="172"/>
      <c r="C211" s="172"/>
      <c r="D211" s="172"/>
      <c r="E211" s="172"/>
      <c r="F211" s="172" t="str">
        <f t="array" ref="F211">IFERROR(XLOOKUP(E211,'Indicadores Master'!$D$2:$D$65,'Indicadores Master'!$E$2:$E$65,""),"")</f>
        <v/>
      </c>
      <c r="G211" s="172" t="str">
        <f t="array" ref="G211">IFERROR(XLOOKUP(E211,'Indicadores Master'!$D$2:$D$65,'Indicadores Master'!$A$2:$A$65,""),"")</f>
        <v/>
      </c>
      <c r="H211" s="188" t="str">
        <f t="array" ref="H211">IFERROR(XLOOKUP(E211,'Indicadores Master'!$D$2:$D$65,'Indicadores Master'!$K$2:$K$65,""),"")</f>
        <v/>
      </c>
      <c r="I211" s="172" t="str">
        <f t="array" ref="I211">IFERROR(XLOOKUP(E211,'Indicadores Master'!$D$2:$D$65,'Indicadores Master'!$J$2:$J$65,""),"")</f>
        <v/>
      </c>
      <c r="J211" s="171"/>
      <c r="K211" s="171"/>
      <c r="L211" s="172"/>
      <c r="M211" s="171"/>
      <c r="N211" s="172"/>
    </row>
    <row r="212" ht="15.75" customHeight="1">
      <c r="A212" s="170"/>
      <c r="B212" s="170"/>
      <c r="C212" s="170"/>
      <c r="D212" s="170"/>
      <c r="E212" s="170"/>
      <c r="F212" s="170" t="str">
        <f t="array" ref="F212">IFERROR(XLOOKUP(E212,'Indicadores Master'!$D$2:$D$65,'Indicadores Master'!$E$2:$E$65,""),"")</f>
        <v/>
      </c>
      <c r="G212" s="170" t="str">
        <f t="array" ref="G212">IFERROR(XLOOKUP(E212,'Indicadores Master'!$D$2:$D$65,'Indicadores Master'!$A$2:$A$65,""),"")</f>
        <v/>
      </c>
      <c r="H212" s="187" t="str">
        <f t="array" ref="H212">IFERROR(XLOOKUP(E212,'Indicadores Master'!$D$2:$D$65,'Indicadores Master'!$K$2:$K$65,""),"")</f>
        <v/>
      </c>
      <c r="I212" s="170" t="str">
        <f t="array" ref="I212">IFERROR(XLOOKUP(E212,'Indicadores Master'!$D$2:$D$65,'Indicadores Master'!$J$2:$J$65,""),"")</f>
        <v/>
      </c>
      <c r="J212" s="169"/>
      <c r="K212" s="169"/>
      <c r="L212" s="170"/>
      <c r="M212" s="169"/>
      <c r="N212" s="170"/>
    </row>
    <row r="213" ht="15.75" customHeight="1">
      <c r="A213" s="172"/>
      <c r="B213" s="172"/>
      <c r="C213" s="172"/>
      <c r="D213" s="172"/>
      <c r="E213" s="172"/>
      <c r="F213" s="172" t="str">
        <f t="array" ref="F213">IFERROR(XLOOKUP(E213,'Indicadores Master'!$D$2:$D$65,'Indicadores Master'!$E$2:$E$65,""),"")</f>
        <v/>
      </c>
      <c r="G213" s="172" t="str">
        <f t="array" ref="G213">IFERROR(XLOOKUP(E213,'Indicadores Master'!$D$2:$D$65,'Indicadores Master'!$A$2:$A$65,""),"")</f>
        <v/>
      </c>
      <c r="H213" s="188" t="str">
        <f t="array" ref="H213">IFERROR(XLOOKUP(E213,'Indicadores Master'!$D$2:$D$65,'Indicadores Master'!$K$2:$K$65,""),"")</f>
        <v/>
      </c>
      <c r="I213" s="172" t="str">
        <f t="array" ref="I213">IFERROR(XLOOKUP(E213,'Indicadores Master'!$D$2:$D$65,'Indicadores Master'!$J$2:$J$65,""),"")</f>
        <v/>
      </c>
      <c r="J213" s="171"/>
      <c r="K213" s="171"/>
      <c r="L213" s="172"/>
      <c r="M213" s="171"/>
      <c r="N213" s="172"/>
    </row>
    <row r="214" ht="15.75" customHeight="1">
      <c r="H214" s="161"/>
      <c r="J214" s="34"/>
      <c r="K214" s="34"/>
      <c r="M214" s="34"/>
    </row>
    <row r="215" ht="15.75" customHeight="1">
      <c r="H215" s="161"/>
      <c r="J215" s="34"/>
      <c r="K215" s="34"/>
      <c r="M215" s="34"/>
    </row>
    <row r="216" ht="15.75" customHeight="1">
      <c r="H216" s="161"/>
      <c r="J216" s="34"/>
      <c r="K216" s="34"/>
      <c r="M216" s="34"/>
    </row>
  </sheetData>
  <dataValidations>
    <dataValidation type="list" allowBlank="1" showErrorMessage="1" sqref="K23 K25 K28">
      <formula1>"%,$,-,N°"</formula1>
    </dataValidation>
    <dataValidation type="list" allowBlank="1" showErrorMessage="1" sqref="H23:H29">
      <formula1>"Mensual,Semestral,Anual"</formula1>
    </dataValidation>
    <dataValidation type="list" allowBlank="1" showErrorMessage="1" sqref="M23:M25 M28">
      <formula1>"correo,-,Drive"</formula1>
    </dataValidation>
    <dataValidation type="list" allowBlank="1" showErrorMessage="1" sqref="B2:B29 B31:B40">
      <formula1>"2025 - 2026,2025 - 2026 "</formula1>
    </dataValidation>
    <dataValidation type="list" allowBlank="1" showErrorMessage="1" sqref="K2:K22 K24 K26:K27 K29">
      <formula1>"%,$,-"</formula1>
    </dataValidation>
    <dataValidation type="list" allowBlank="1" showErrorMessage="1" sqref="M2:M22 M29">
      <formula1>"correo,-"</formula1>
    </dataValidation>
    <dataValidation type="list" allowBlank="1" showErrorMessage="1" sqref="H2:H22 H31:H40">
      <formula1>"Mensual,Semestral"</formula1>
    </dataValidation>
    <dataValidation type="list" allowBlank="1" showErrorMessage="1" sqref="C2:C29 C31:C40">
      <formula1>"Fall,Spring,Summer,Anual"</formula1>
    </dataValidation>
  </dataValidations>
  <hyperlinks>
    <hyperlink r:id="rId1" location="gid=2097181425&amp;range=P3" ref="L23"/>
    <hyperlink r:id="rId2" location="gid=2097181425&amp;range=P4" ref="L24"/>
    <hyperlink r:id="rId3" location="gid=1564101999" ref="L25"/>
    <hyperlink r:id="rId4" ref="L28"/>
  </hyperlinks>
  <printOptions/>
  <pageMargins bottom="1.0" footer="0.0" header="0.0" left="0.75" right="0.75" top="1.0"/>
  <pageSetup orientation="landscape"/>
  <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26.0"/>
    <col customWidth="1" min="4" max="4" width="16.43"/>
    <col customWidth="1" min="5" max="5" width="14.0"/>
    <col customWidth="1" min="6" max="6" width="24.0"/>
    <col customWidth="1" min="7" max="7" width="12.0"/>
    <col customWidth="1" min="8" max="9" width="14.0"/>
    <col customWidth="1" min="10" max="10" width="8.0"/>
    <col customWidth="1" min="11" max="11" width="26.0"/>
    <col customWidth="1" min="12" max="12" width="22.0"/>
    <col customWidth="1" min="13" max="13" width="13.0"/>
    <col customWidth="1" min="14" max="14" width="12.0"/>
    <col customWidth="1" min="15" max="16" width="14.0"/>
    <col customWidth="1" min="17" max="17" width="8.0"/>
    <col customWidth="1" min="18" max="18" width="26.0"/>
    <col customWidth="1" min="19" max="19" width="22.0"/>
    <col customWidth="1" min="20" max="20" width="13.0"/>
    <col customWidth="1" min="21" max="21" width="12.0"/>
    <col customWidth="1" min="22" max="23" width="14.0"/>
    <col customWidth="1" min="24" max="24" width="8.0"/>
    <col customWidth="1" min="25" max="25" width="26.0"/>
    <col customWidth="1" min="26" max="26" width="22.0"/>
    <col customWidth="1" min="27" max="27" width="13.0"/>
  </cols>
  <sheetData>
    <row r="1">
      <c r="A1" s="5" t="s">
        <v>409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>
      <c r="A2" s="120"/>
      <c r="F2" s="34"/>
      <c r="I2" s="34"/>
      <c r="J2" s="34"/>
      <c r="Q2" s="34"/>
    </row>
    <row r="3">
      <c r="A3" s="123" t="s">
        <v>101</v>
      </c>
      <c r="B3" s="123" t="s">
        <v>90</v>
      </c>
      <c r="C3" s="123" t="s">
        <v>87</v>
      </c>
      <c r="D3" s="123" t="s">
        <v>5</v>
      </c>
      <c r="E3" s="123" t="s">
        <v>118</v>
      </c>
      <c r="F3" s="123" t="s">
        <v>119</v>
      </c>
      <c r="G3" s="124" t="s">
        <v>11</v>
      </c>
      <c r="H3" s="3"/>
      <c r="I3" s="3"/>
      <c r="J3" s="3"/>
      <c r="K3" s="3"/>
      <c r="L3" s="3"/>
      <c r="M3" s="4"/>
      <c r="N3" s="125" t="s">
        <v>20</v>
      </c>
      <c r="O3" s="3"/>
      <c r="P3" s="3"/>
      <c r="Q3" s="3"/>
      <c r="R3" s="3"/>
      <c r="S3" s="3"/>
      <c r="T3" s="4"/>
      <c r="U3" s="126" t="s">
        <v>29</v>
      </c>
      <c r="V3" s="3"/>
      <c r="W3" s="3"/>
      <c r="X3" s="3"/>
      <c r="Y3" s="3"/>
      <c r="Z3" s="3"/>
      <c r="AA3" s="4"/>
    </row>
    <row r="4">
      <c r="A4" s="127"/>
      <c r="B4" s="127"/>
      <c r="C4" s="127"/>
      <c r="D4" s="127"/>
      <c r="E4" s="127"/>
      <c r="F4" s="127"/>
      <c r="G4" s="129" t="s">
        <v>423</v>
      </c>
      <c r="H4" s="129" t="s">
        <v>2</v>
      </c>
      <c r="I4" s="129" t="s">
        <v>0</v>
      </c>
      <c r="J4" s="129" t="s">
        <v>4</v>
      </c>
      <c r="K4" s="129" t="s">
        <v>425</v>
      </c>
      <c r="L4" s="129" t="s">
        <v>426</v>
      </c>
      <c r="M4" s="129" t="s">
        <v>428</v>
      </c>
      <c r="N4" s="25" t="s">
        <v>423</v>
      </c>
      <c r="O4" s="25" t="s">
        <v>2</v>
      </c>
      <c r="P4" s="25" t="s">
        <v>0</v>
      </c>
      <c r="Q4" s="25" t="s">
        <v>4</v>
      </c>
      <c r="R4" s="25" t="s">
        <v>425</v>
      </c>
      <c r="S4" s="25" t="s">
        <v>426</v>
      </c>
      <c r="T4" s="25" t="s">
        <v>428</v>
      </c>
      <c r="U4" s="130" t="s">
        <v>423</v>
      </c>
      <c r="V4" s="130" t="s">
        <v>2</v>
      </c>
      <c r="W4" s="130" t="s">
        <v>0</v>
      </c>
      <c r="X4" s="130" t="s">
        <v>4</v>
      </c>
      <c r="Y4" s="130" t="s">
        <v>425</v>
      </c>
      <c r="Z4" s="130" t="s">
        <v>426</v>
      </c>
      <c r="AA4" s="130" t="s">
        <v>428</v>
      </c>
    </row>
    <row r="5">
      <c r="A5" s="131" t="s">
        <v>435</v>
      </c>
      <c r="B5" s="131" t="s">
        <v>95</v>
      </c>
      <c r="C5" s="131" t="s">
        <v>131</v>
      </c>
      <c r="D5" s="131" t="s">
        <v>33</v>
      </c>
      <c r="E5" s="131" t="s">
        <v>133</v>
      </c>
      <c r="F5" s="131" t="s">
        <v>137</v>
      </c>
      <c r="G5" s="131"/>
      <c r="H5" s="131"/>
      <c r="I5" s="133"/>
      <c r="J5" s="131" t="str">
        <f t="shared" ref="J5:J68" si="1">IF(I5="Cumple","🟢",IF(I5="En riesgo","🟡",IF(I5="No cumple","🔴","⚪")))</f>
        <v>⚪</v>
      </c>
      <c r="K5" s="131"/>
      <c r="L5" s="131"/>
      <c r="M5" s="137"/>
      <c r="N5" s="131"/>
      <c r="O5" s="131"/>
      <c r="P5" s="131"/>
      <c r="Q5" s="131" t="str">
        <f t="shared" ref="Q5:Q68" si="2">IF(P5="Cumple","🟢",IF(P5="En riesgo","🟡",IF(P5="No cumple","🔴","⚪")))</f>
        <v>⚪</v>
      </c>
      <c r="R5" s="131"/>
      <c r="S5" s="131"/>
      <c r="T5" s="137"/>
      <c r="U5" s="131"/>
      <c r="V5" s="131"/>
      <c r="W5" s="131"/>
      <c r="X5" s="131" t="str">
        <f t="shared" ref="X5:X68" si="3">IF(W5="Cumple","🟢",IF(W5="En riesgo","🟡",IF(W5="No cumple","🔴","⚪")))</f>
        <v>⚪</v>
      </c>
      <c r="Y5" s="131"/>
      <c r="Z5" s="131"/>
      <c r="AA5" s="137"/>
    </row>
    <row r="6">
      <c r="A6" s="138" t="s">
        <v>456</v>
      </c>
      <c r="B6" s="138" t="s">
        <v>95</v>
      </c>
      <c r="C6" s="138" t="s">
        <v>140</v>
      </c>
      <c r="D6" s="138" t="s">
        <v>33</v>
      </c>
      <c r="E6" s="138" t="s">
        <v>141</v>
      </c>
      <c r="F6" s="138" t="s">
        <v>137</v>
      </c>
      <c r="G6" s="138"/>
      <c r="H6" s="138"/>
      <c r="I6" s="138"/>
      <c r="J6" s="138" t="str">
        <f t="shared" si="1"/>
        <v>⚪</v>
      </c>
      <c r="K6" s="138"/>
      <c r="L6" s="138"/>
      <c r="M6" s="139"/>
      <c r="N6" s="138"/>
      <c r="O6" s="138"/>
      <c r="P6" s="138"/>
      <c r="Q6" s="138" t="str">
        <f t="shared" si="2"/>
        <v>⚪</v>
      </c>
      <c r="R6" s="138"/>
      <c r="S6" s="138"/>
      <c r="T6" s="139"/>
      <c r="U6" s="138"/>
      <c r="V6" s="138"/>
      <c r="W6" s="138"/>
      <c r="X6" s="138" t="str">
        <f t="shared" si="3"/>
        <v>⚪</v>
      </c>
      <c r="Y6" s="138"/>
      <c r="Z6" s="138"/>
      <c r="AA6" s="139"/>
    </row>
    <row r="7">
      <c r="A7" s="131" t="s">
        <v>466</v>
      </c>
      <c r="B7" s="131" t="s">
        <v>95</v>
      </c>
      <c r="C7" s="131" t="s">
        <v>143</v>
      </c>
      <c r="D7" s="131" t="s">
        <v>33</v>
      </c>
      <c r="E7" s="131" t="s">
        <v>133</v>
      </c>
      <c r="F7" s="131" t="s">
        <v>137</v>
      </c>
      <c r="G7" s="131"/>
      <c r="H7" s="131"/>
      <c r="I7" s="131"/>
      <c r="J7" s="131" t="str">
        <f t="shared" si="1"/>
        <v>⚪</v>
      </c>
      <c r="K7" s="131"/>
      <c r="L7" s="131"/>
      <c r="M7" s="137"/>
      <c r="N7" s="131"/>
      <c r="O7" s="131"/>
      <c r="P7" s="131"/>
      <c r="Q7" s="131" t="str">
        <f t="shared" si="2"/>
        <v>⚪</v>
      </c>
      <c r="R7" s="131"/>
      <c r="S7" s="131"/>
      <c r="T7" s="137"/>
      <c r="U7" s="131"/>
      <c r="V7" s="131"/>
      <c r="W7" s="131"/>
      <c r="X7" s="131" t="str">
        <f t="shared" si="3"/>
        <v>⚪</v>
      </c>
      <c r="Y7" s="131"/>
      <c r="Z7" s="131"/>
      <c r="AA7" s="137"/>
    </row>
    <row r="8">
      <c r="A8" s="138" t="s">
        <v>477</v>
      </c>
      <c r="B8" s="138" t="s">
        <v>95</v>
      </c>
      <c r="C8" s="138" t="s">
        <v>147</v>
      </c>
      <c r="D8" s="138" t="s">
        <v>33</v>
      </c>
      <c r="E8" s="138" t="s">
        <v>149</v>
      </c>
      <c r="F8" s="138" t="s">
        <v>162</v>
      </c>
      <c r="G8" s="138"/>
      <c r="H8" s="138"/>
      <c r="I8" s="138"/>
      <c r="J8" s="138" t="str">
        <f t="shared" si="1"/>
        <v>⚪</v>
      </c>
      <c r="K8" s="138"/>
      <c r="L8" s="138"/>
      <c r="M8" s="139"/>
      <c r="N8" s="138"/>
      <c r="O8" s="138"/>
      <c r="P8" s="138"/>
      <c r="Q8" s="138" t="str">
        <f t="shared" si="2"/>
        <v>⚪</v>
      </c>
      <c r="R8" s="138"/>
      <c r="S8" s="138"/>
      <c r="T8" s="139"/>
      <c r="U8" s="138"/>
      <c r="V8" s="138"/>
      <c r="W8" s="138"/>
      <c r="X8" s="138" t="str">
        <f t="shared" si="3"/>
        <v>⚪</v>
      </c>
      <c r="Y8" s="138"/>
      <c r="Z8" s="138"/>
      <c r="AA8" s="139"/>
    </row>
    <row r="9">
      <c r="A9" s="131" t="s">
        <v>490</v>
      </c>
      <c r="B9" s="131" t="s">
        <v>95</v>
      </c>
      <c r="C9" s="131" t="s">
        <v>155</v>
      </c>
      <c r="D9" s="131" t="s">
        <v>33</v>
      </c>
      <c r="E9" s="131" t="s">
        <v>133</v>
      </c>
      <c r="F9" s="131" t="s">
        <v>137</v>
      </c>
      <c r="G9" s="131"/>
      <c r="H9" s="131"/>
      <c r="I9" s="131"/>
      <c r="J9" s="131" t="str">
        <f t="shared" si="1"/>
        <v>⚪</v>
      </c>
      <c r="K9" s="131"/>
      <c r="L9" s="131"/>
      <c r="M9" s="137"/>
      <c r="N9" s="131"/>
      <c r="O9" s="131"/>
      <c r="P9" s="131"/>
      <c r="Q9" s="131" t="str">
        <f t="shared" si="2"/>
        <v>⚪</v>
      </c>
      <c r="R9" s="131"/>
      <c r="S9" s="131"/>
      <c r="T9" s="137"/>
      <c r="U9" s="131"/>
      <c r="V9" s="131"/>
      <c r="W9" s="131"/>
      <c r="X9" s="131" t="str">
        <f t="shared" si="3"/>
        <v>⚪</v>
      </c>
      <c r="Y9" s="131"/>
      <c r="Z9" s="131"/>
      <c r="AA9" s="137"/>
    </row>
    <row r="10">
      <c r="A10" s="138" t="s">
        <v>502</v>
      </c>
      <c r="B10" s="138" t="s">
        <v>95</v>
      </c>
      <c r="C10" s="138" t="s">
        <v>156</v>
      </c>
      <c r="D10" s="138" t="s">
        <v>33</v>
      </c>
      <c r="E10" s="138" t="s">
        <v>157</v>
      </c>
      <c r="F10" s="138" t="s">
        <v>137</v>
      </c>
      <c r="G10" s="138"/>
      <c r="H10" s="138"/>
      <c r="I10" s="138"/>
      <c r="J10" s="138" t="str">
        <f t="shared" si="1"/>
        <v>⚪</v>
      </c>
      <c r="K10" s="138"/>
      <c r="L10" s="138"/>
      <c r="M10" s="139"/>
      <c r="N10" s="138"/>
      <c r="O10" s="138"/>
      <c r="P10" s="138"/>
      <c r="Q10" s="138" t="str">
        <f t="shared" si="2"/>
        <v>⚪</v>
      </c>
      <c r="R10" s="138"/>
      <c r="S10" s="138"/>
      <c r="T10" s="139"/>
      <c r="U10" s="138"/>
      <c r="V10" s="138"/>
      <c r="W10" s="138"/>
      <c r="X10" s="138" t="str">
        <f t="shared" si="3"/>
        <v>⚪</v>
      </c>
      <c r="Y10" s="138"/>
      <c r="Z10" s="138"/>
      <c r="AA10" s="139"/>
    </row>
    <row r="11">
      <c r="A11" s="131" t="s">
        <v>511</v>
      </c>
      <c r="B11" s="131" t="s">
        <v>95</v>
      </c>
      <c r="C11" s="131" t="s">
        <v>159</v>
      </c>
      <c r="D11" s="131" t="s">
        <v>33</v>
      </c>
      <c r="E11" s="131" t="s">
        <v>160</v>
      </c>
      <c r="F11" s="131" t="s">
        <v>162</v>
      </c>
      <c r="G11" s="131"/>
      <c r="H11" s="131"/>
      <c r="I11" s="131"/>
      <c r="J11" s="131" t="str">
        <f t="shared" si="1"/>
        <v>⚪</v>
      </c>
      <c r="K11" s="131"/>
      <c r="L11" s="131"/>
      <c r="M11" s="137"/>
      <c r="N11" s="131"/>
      <c r="O11" s="131"/>
      <c r="P11" s="131"/>
      <c r="Q11" s="131" t="str">
        <f t="shared" si="2"/>
        <v>⚪</v>
      </c>
      <c r="R11" s="131"/>
      <c r="S11" s="131"/>
      <c r="T11" s="137"/>
      <c r="U11" s="131"/>
      <c r="V11" s="131"/>
      <c r="W11" s="131"/>
      <c r="X11" s="131" t="str">
        <f t="shared" si="3"/>
        <v>⚪</v>
      </c>
      <c r="Y11" s="131"/>
      <c r="Z11" s="131"/>
      <c r="AA11" s="137"/>
    </row>
    <row r="12">
      <c r="A12" s="138" t="s">
        <v>525</v>
      </c>
      <c r="B12" s="138" t="s">
        <v>95</v>
      </c>
      <c r="C12" s="138" t="s">
        <v>172</v>
      </c>
      <c r="D12" s="138" t="s">
        <v>33</v>
      </c>
      <c r="E12" s="138" t="s">
        <v>173</v>
      </c>
      <c r="F12" s="138" t="s">
        <v>162</v>
      </c>
      <c r="G12" s="138"/>
      <c r="H12" s="138"/>
      <c r="I12" s="138"/>
      <c r="J12" s="138" t="str">
        <f t="shared" si="1"/>
        <v>⚪</v>
      </c>
      <c r="K12" s="138"/>
      <c r="L12" s="138"/>
      <c r="M12" s="139"/>
      <c r="N12" s="138"/>
      <c r="O12" s="138"/>
      <c r="P12" s="138"/>
      <c r="Q12" s="138" t="str">
        <f t="shared" si="2"/>
        <v>⚪</v>
      </c>
      <c r="R12" s="138"/>
      <c r="S12" s="138"/>
      <c r="T12" s="139"/>
      <c r="U12" s="138"/>
      <c r="V12" s="138"/>
      <c r="W12" s="138"/>
      <c r="X12" s="138" t="str">
        <f t="shared" si="3"/>
        <v>⚪</v>
      </c>
      <c r="Y12" s="138"/>
      <c r="Z12" s="138"/>
      <c r="AA12" s="139"/>
    </row>
    <row r="13">
      <c r="A13" s="131" t="s">
        <v>533</v>
      </c>
      <c r="B13" s="131" t="s">
        <v>95</v>
      </c>
      <c r="C13" s="131" t="s">
        <v>174</v>
      </c>
      <c r="D13" s="131" t="s">
        <v>33</v>
      </c>
      <c r="E13" s="131" t="s">
        <v>175</v>
      </c>
      <c r="F13" s="131" t="s">
        <v>176</v>
      </c>
      <c r="G13" s="133"/>
      <c r="H13" s="133"/>
      <c r="I13" s="133"/>
      <c r="J13" s="131" t="str">
        <f t="shared" si="1"/>
        <v>⚪</v>
      </c>
      <c r="K13" s="133"/>
      <c r="L13" s="133"/>
      <c r="M13" s="133"/>
      <c r="N13" s="133" t="s">
        <v>541</v>
      </c>
      <c r="O13" s="133" t="s">
        <v>543</v>
      </c>
      <c r="P13" s="133" t="s">
        <v>240</v>
      </c>
      <c r="Q13" s="131" t="str">
        <f t="shared" si="2"/>
        <v>🟢</v>
      </c>
      <c r="R13" s="133" t="s">
        <v>544</v>
      </c>
      <c r="S13" s="133" t="s">
        <v>547</v>
      </c>
      <c r="T13" s="133" t="s">
        <v>548</v>
      </c>
      <c r="U13" s="131"/>
      <c r="V13" s="131"/>
      <c r="W13" s="131"/>
      <c r="X13" s="131" t="str">
        <f t="shared" si="3"/>
        <v>⚪</v>
      </c>
      <c r="Y13" s="131"/>
      <c r="Z13" s="131"/>
      <c r="AA13" s="137"/>
    </row>
    <row r="14">
      <c r="A14" s="138" t="s">
        <v>549</v>
      </c>
      <c r="B14" s="138" t="s">
        <v>95</v>
      </c>
      <c r="C14" s="138" t="s">
        <v>183</v>
      </c>
      <c r="D14" s="138" t="s">
        <v>33</v>
      </c>
      <c r="E14" s="138" t="s">
        <v>184</v>
      </c>
      <c r="F14" s="138" t="s">
        <v>176</v>
      </c>
      <c r="G14" s="138"/>
      <c r="H14" s="138"/>
      <c r="I14" s="138"/>
      <c r="J14" s="138" t="str">
        <f t="shared" si="1"/>
        <v>⚪</v>
      </c>
      <c r="K14" s="138"/>
      <c r="L14" s="138"/>
      <c r="M14" s="139"/>
      <c r="N14" s="159" t="s">
        <v>560</v>
      </c>
      <c r="O14" s="133" t="s">
        <v>543</v>
      </c>
      <c r="P14" s="133" t="s">
        <v>240</v>
      </c>
      <c r="Q14" s="138" t="str">
        <f t="shared" si="2"/>
        <v>🟢</v>
      </c>
      <c r="R14" s="159" t="s">
        <v>562</v>
      </c>
      <c r="S14" s="133" t="s">
        <v>547</v>
      </c>
      <c r="T14" s="133" t="s">
        <v>548</v>
      </c>
      <c r="U14" s="138"/>
      <c r="V14" s="138"/>
      <c r="W14" s="138"/>
      <c r="X14" s="138" t="str">
        <f t="shared" si="3"/>
        <v>⚪</v>
      </c>
      <c r="Y14" s="138"/>
      <c r="Z14" s="138"/>
      <c r="AA14" s="139"/>
    </row>
    <row r="15">
      <c r="A15" s="131" t="s">
        <v>563</v>
      </c>
      <c r="B15" s="131" t="s">
        <v>138</v>
      </c>
      <c r="C15" s="131" t="s">
        <v>367</v>
      </c>
      <c r="D15" s="131" t="s">
        <v>14</v>
      </c>
      <c r="E15" s="131" t="s">
        <v>133</v>
      </c>
      <c r="F15" s="131" t="s">
        <v>162</v>
      </c>
      <c r="G15" s="131" t="s">
        <v>566</v>
      </c>
      <c r="H15" s="159" t="s">
        <v>568</v>
      </c>
      <c r="I15" s="159" t="s">
        <v>240</v>
      </c>
      <c r="J15" s="131" t="str">
        <f t="shared" si="1"/>
        <v>🟢</v>
      </c>
      <c r="K15" s="133" t="s">
        <v>571</v>
      </c>
      <c r="L15" s="133" t="s">
        <v>573</v>
      </c>
      <c r="M15" s="159" t="s">
        <v>304</v>
      </c>
      <c r="N15" s="131" t="s">
        <v>566</v>
      </c>
      <c r="O15" s="133" t="s">
        <v>543</v>
      </c>
      <c r="P15" s="133" t="s">
        <v>240</v>
      </c>
      <c r="Q15" s="131" t="str">
        <f t="shared" si="2"/>
        <v>🟢</v>
      </c>
      <c r="R15" s="133" t="s">
        <v>576</v>
      </c>
      <c r="S15" s="133" t="s">
        <v>547</v>
      </c>
      <c r="T15" s="133" t="s">
        <v>578</v>
      </c>
      <c r="U15" s="131"/>
      <c r="V15" s="131"/>
      <c r="W15" s="131"/>
      <c r="X15" s="131" t="str">
        <f t="shared" si="3"/>
        <v>⚪</v>
      </c>
      <c r="Y15" s="131"/>
      <c r="Z15" s="131"/>
      <c r="AA15" s="137"/>
    </row>
    <row r="16">
      <c r="A16" s="138" t="s">
        <v>580</v>
      </c>
      <c r="B16" s="138" t="s">
        <v>138</v>
      </c>
      <c r="C16" s="138" t="s">
        <v>203</v>
      </c>
      <c r="D16" s="138" t="s">
        <v>33</v>
      </c>
      <c r="E16" s="138" t="s">
        <v>160</v>
      </c>
      <c r="F16" s="138" t="s">
        <v>581</v>
      </c>
      <c r="G16" s="138"/>
      <c r="H16" s="138"/>
      <c r="I16" s="138"/>
      <c r="J16" s="138" t="str">
        <f t="shared" si="1"/>
        <v>⚪</v>
      </c>
      <c r="K16" s="138"/>
      <c r="L16" s="138"/>
      <c r="M16" s="139"/>
      <c r="N16" s="138"/>
      <c r="O16" s="138"/>
      <c r="P16" s="138"/>
      <c r="Q16" s="138" t="str">
        <f t="shared" si="2"/>
        <v>⚪</v>
      </c>
      <c r="R16" s="138"/>
      <c r="S16" s="138"/>
      <c r="T16" s="139"/>
      <c r="U16" s="138"/>
      <c r="V16" s="138"/>
      <c r="W16" s="138"/>
      <c r="X16" s="138" t="str">
        <f t="shared" si="3"/>
        <v>⚪</v>
      </c>
      <c r="Y16" s="138"/>
      <c r="Z16" s="138"/>
      <c r="AA16" s="139"/>
    </row>
    <row r="17">
      <c r="A17" s="131" t="s">
        <v>588</v>
      </c>
      <c r="B17" s="131" t="s">
        <v>138</v>
      </c>
      <c r="C17" s="131" t="s">
        <v>208</v>
      </c>
      <c r="D17" s="131" t="s">
        <v>33</v>
      </c>
      <c r="E17" s="131" t="s">
        <v>210</v>
      </c>
      <c r="F17" s="131" t="s">
        <v>137</v>
      </c>
      <c r="G17" s="131"/>
      <c r="H17" s="131"/>
      <c r="I17" s="131"/>
      <c r="J17" s="131" t="str">
        <f t="shared" si="1"/>
        <v>⚪</v>
      </c>
      <c r="K17" s="131"/>
      <c r="L17" s="131"/>
      <c r="M17" s="137"/>
      <c r="N17" s="131"/>
      <c r="O17" s="131"/>
      <c r="P17" s="131"/>
      <c r="Q17" s="131" t="str">
        <f t="shared" si="2"/>
        <v>⚪</v>
      </c>
      <c r="R17" s="131"/>
      <c r="S17" s="131"/>
      <c r="T17" s="137"/>
      <c r="U17" s="131"/>
      <c r="V17" s="131"/>
      <c r="W17" s="131"/>
      <c r="X17" s="131" t="str">
        <f t="shared" si="3"/>
        <v>⚪</v>
      </c>
      <c r="Y17" s="131"/>
      <c r="Z17" s="131"/>
      <c r="AA17" s="137"/>
    </row>
    <row r="18">
      <c r="A18" s="138" t="s">
        <v>592</v>
      </c>
      <c r="B18" s="138" t="s">
        <v>138</v>
      </c>
      <c r="C18" s="138" t="s">
        <v>218</v>
      </c>
      <c r="D18" s="138" t="s">
        <v>33</v>
      </c>
      <c r="E18" s="138" t="s">
        <v>133</v>
      </c>
      <c r="F18" s="138" t="s">
        <v>137</v>
      </c>
      <c r="G18" s="138"/>
      <c r="H18" s="138"/>
      <c r="I18" s="138"/>
      <c r="J18" s="138" t="str">
        <f t="shared" si="1"/>
        <v>⚪</v>
      </c>
      <c r="K18" s="138"/>
      <c r="L18" s="138"/>
      <c r="M18" s="139"/>
      <c r="N18" s="138"/>
      <c r="O18" s="138"/>
      <c r="P18" s="138"/>
      <c r="Q18" s="138" t="str">
        <f t="shared" si="2"/>
        <v>⚪</v>
      </c>
      <c r="R18" s="138"/>
      <c r="S18" s="138"/>
      <c r="T18" s="139"/>
      <c r="U18" s="138"/>
      <c r="V18" s="138"/>
      <c r="W18" s="138"/>
      <c r="X18" s="138" t="str">
        <f t="shared" si="3"/>
        <v>⚪</v>
      </c>
      <c r="Y18" s="138"/>
      <c r="Z18" s="138"/>
      <c r="AA18" s="139"/>
    </row>
    <row r="19">
      <c r="A19" s="131" t="s">
        <v>601</v>
      </c>
      <c r="B19" s="131" t="s">
        <v>138</v>
      </c>
      <c r="C19" s="131" t="s">
        <v>228</v>
      </c>
      <c r="D19" s="131" t="s">
        <v>33</v>
      </c>
      <c r="E19" s="131" t="s">
        <v>133</v>
      </c>
      <c r="F19" s="131" t="s">
        <v>137</v>
      </c>
      <c r="G19" s="131"/>
      <c r="H19" s="131"/>
      <c r="I19" s="131"/>
      <c r="J19" s="131" t="str">
        <f t="shared" si="1"/>
        <v>⚪</v>
      </c>
      <c r="K19" s="131"/>
      <c r="L19" s="131"/>
      <c r="M19" s="137"/>
      <c r="N19" s="131"/>
      <c r="O19" s="131"/>
      <c r="P19" s="131"/>
      <c r="Q19" s="131" t="str">
        <f t="shared" si="2"/>
        <v>⚪</v>
      </c>
      <c r="R19" s="131"/>
      <c r="S19" s="131"/>
      <c r="T19" s="137"/>
      <c r="U19" s="131"/>
      <c r="V19" s="131"/>
      <c r="W19" s="131"/>
      <c r="X19" s="131" t="str">
        <f t="shared" si="3"/>
        <v>⚪</v>
      </c>
      <c r="Y19" s="131"/>
      <c r="Z19" s="131"/>
      <c r="AA19" s="137"/>
    </row>
    <row r="20">
      <c r="A20" s="138" t="s">
        <v>614</v>
      </c>
      <c r="B20" s="138" t="s">
        <v>138</v>
      </c>
      <c r="C20" s="138" t="s">
        <v>234</v>
      </c>
      <c r="D20" s="138" t="s">
        <v>33</v>
      </c>
      <c r="E20" s="138" t="s">
        <v>236</v>
      </c>
      <c r="F20" s="138" t="s">
        <v>137</v>
      </c>
      <c r="G20" s="138"/>
      <c r="H20" s="138"/>
      <c r="I20" s="138"/>
      <c r="J20" s="138" t="str">
        <f t="shared" si="1"/>
        <v>⚪</v>
      </c>
      <c r="K20" s="138"/>
      <c r="L20" s="138"/>
      <c r="M20" s="139"/>
      <c r="N20" s="138"/>
      <c r="O20" s="138"/>
      <c r="P20" s="138"/>
      <c r="Q20" s="138" t="str">
        <f t="shared" si="2"/>
        <v>⚪</v>
      </c>
      <c r="R20" s="138"/>
      <c r="S20" s="138"/>
      <c r="T20" s="139"/>
      <c r="U20" s="138"/>
      <c r="V20" s="138"/>
      <c r="W20" s="138"/>
      <c r="X20" s="138" t="str">
        <f t="shared" si="3"/>
        <v>⚪</v>
      </c>
      <c r="Y20" s="138"/>
      <c r="Z20" s="138"/>
      <c r="AA20" s="139"/>
    </row>
    <row r="21" ht="15.75" customHeight="1">
      <c r="A21" s="131" t="s">
        <v>625</v>
      </c>
      <c r="B21" s="131" t="s">
        <v>138</v>
      </c>
      <c r="C21" s="131" t="s">
        <v>241</v>
      </c>
      <c r="D21" s="131" t="s">
        <v>33</v>
      </c>
      <c r="E21" s="131" t="s">
        <v>173</v>
      </c>
      <c r="F21" s="131" t="s">
        <v>137</v>
      </c>
      <c r="G21" s="131"/>
      <c r="H21" s="131"/>
      <c r="I21" s="131"/>
      <c r="J21" s="131" t="str">
        <f t="shared" si="1"/>
        <v>⚪</v>
      </c>
      <c r="K21" s="131"/>
      <c r="L21" s="131"/>
      <c r="M21" s="137"/>
      <c r="N21" s="131"/>
      <c r="O21" s="131"/>
      <c r="P21" s="131"/>
      <c r="Q21" s="131" t="str">
        <f t="shared" si="2"/>
        <v>⚪</v>
      </c>
      <c r="R21" s="131"/>
      <c r="S21" s="131"/>
      <c r="T21" s="137"/>
      <c r="U21" s="131"/>
      <c r="V21" s="131"/>
      <c r="W21" s="131"/>
      <c r="X21" s="131" t="str">
        <f t="shared" si="3"/>
        <v>⚪</v>
      </c>
      <c r="Y21" s="131"/>
      <c r="Z21" s="131"/>
      <c r="AA21" s="137"/>
    </row>
    <row r="22" ht="15.75" customHeight="1">
      <c r="A22" s="138" t="s">
        <v>636</v>
      </c>
      <c r="B22" s="138" t="s">
        <v>138</v>
      </c>
      <c r="C22" s="138" t="s">
        <v>245</v>
      </c>
      <c r="D22" s="138" t="s">
        <v>33</v>
      </c>
      <c r="E22" s="138" t="s">
        <v>246</v>
      </c>
      <c r="F22" s="138" t="s">
        <v>137</v>
      </c>
      <c r="G22" s="138"/>
      <c r="H22" s="138"/>
      <c r="I22" s="138"/>
      <c r="J22" s="138" t="str">
        <f t="shared" si="1"/>
        <v>⚪</v>
      </c>
      <c r="K22" s="138"/>
      <c r="L22" s="138"/>
      <c r="M22" s="139"/>
      <c r="N22" s="138"/>
      <c r="O22" s="138"/>
      <c r="P22" s="138"/>
      <c r="Q22" s="138" t="str">
        <f t="shared" si="2"/>
        <v>⚪</v>
      </c>
      <c r="R22" s="138"/>
      <c r="S22" s="138"/>
      <c r="T22" s="139"/>
      <c r="U22" s="138"/>
      <c r="V22" s="138"/>
      <c r="W22" s="138"/>
      <c r="X22" s="138" t="str">
        <f t="shared" si="3"/>
        <v>⚪</v>
      </c>
      <c r="Y22" s="138"/>
      <c r="Z22" s="138"/>
      <c r="AA22" s="139"/>
    </row>
    <row r="23" ht="15.75" customHeight="1">
      <c r="A23" s="131" t="s">
        <v>650</v>
      </c>
      <c r="B23" s="131" t="s">
        <v>138</v>
      </c>
      <c r="C23" s="131" t="s">
        <v>248</v>
      </c>
      <c r="D23" s="131" t="s">
        <v>33</v>
      </c>
      <c r="E23" s="131" t="s">
        <v>149</v>
      </c>
      <c r="F23" s="131" t="s">
        <v>162</v>
      </c>
      <c r="G23" s="131"/>
      <c r="H23" s="131"/>
      <c r="I23" s="131"/>
      <c r="J23" s="131" t="str">
        <f t="shared" si="1"/>
        <v>⚪</v>
      </c>
      <c r="K23" s="131"/>
      <c r="L23" s="131"/>
      <c r="M23" s="137"/>
      <c r="N23" s="131"/>
      <c r="O23" s="131"/>
      <c r="P23" s="131"/>
      <c r="Q23" s="131" t="str">
        <f t="shared" si="2"/>
        <v>⚪</v>
      </c>
      <c r="R23" s="131"/>
      <c r="S23" s="131"/>
      <c r="T23" s="137"/>
      <c r="U23" s="131"/>
      <c r="V23" s="131"/>
      <c r="W23" s="131"/>
      <c r="X23" s="131" t="str">
        <f t="shared" si="3"/>
        <v>⚪</v>
      </c>
      <c r="Y23" s="131"/>
      <c r="Z23" s="131"/>
      <c r="AA23" s="137"/>
    </row>
    <row r="24" ht="15.75" customHeight="1">
      <c r="A24" s="138" t="s">
        <v>663</v>
      </c>
      <c r="B24" s="138" t="s">
        <v>138</v>
      </c>
      <c r="C24" s="138" t="s">
        <v>258</v>
      </c>
      <c r="D24" s="138" t="s">
        <v>33</v>
      </c>
      <c r="E24" s="138" t="s">
        <v>160</v>
      </c>
      <c r="F24" s="138" t="s">
        <v>162</v>
      </c>
      <c r="G24" s="138"/>
      <c r="H24" s="138"/>
      <c r="I24" s="138"/>
      <c r="J24" s="138" t="str">
        <f t="shared" si="1"/>
        <v>⚪</v>
      </c>
      <c r="K24" s="138"/>
      <c r="L24" s="138"/>
      <c r="M24" s="139"/>
      <c r="N24" s="138"/>
      <c r="O24" s="138"/>
      <c r="P24" s="138"/>
      <c r="Q24" s="138" t="str">
        <f t="shared" si="2"/>
        <v>⚪</v>
      </c>
      <c r="R24" s="138"/>
      <c r="S24" s="138"/>
      <c r="T24" s="139"/>
      <c r="U24" s="138"/>
      <c r="V24" s="138"/>
      <c r="W24" s="138"/>
      <c r="X24" s="138" t="str">
        <f t="shared" si="3"/>
        <v>⚪</v>
      </c>
      <c r="Y24" s="138"/>
      <c r="Z24" s="138"/>
      <c r="AA24" s="139"/>
    </row>
    <row r="25" ht="15.75" customHeight="1">
      <c r="A25" s="131" t="s">
        <v>678</v>
      </c>
      <c r="B25" s="131" t="s">
        <v>164</v>
      </c>
      <c r="C25" s="131" t="s">
        <v>261</v>
      </c>
      <c r="D25" s="131" t="s">
        <v>33</v>
      </c>
      <c r="E25" s="131" t="s">
        <v>133</v>
      </c>
      <c r="F25" s="131" t="s">
        <v>162</v>
      </c>
      <c r="G25" s="131"/>
      <c r="H25" s="131"/>
      <c r="I25" s="131"/>
      <c r="J25" s="131" t="str">
        <f t="shared" si="1"/>
        <v>⚪</v>
      </c>
      <c r="K25" s="131"/>
      <c r="L25" s="131"/>
      <c r="M25" s="137"/>
      <c r="N25" s="131"/>
      <c r="O25" s="131"/>
      <c r="P25" s="131"/>
      <c r="Q25" s="131" t="str">
        <f t="shared" si="2"/>
        <v>⚪</v>
      </c>
      <c r="R25" s="131"/>
      <c r="S25" s="131"/>
      <c r="T25" s="137"/>
      <c r="U25" s="131"/>
      <c r="V25" s="131"/>
      <c r="W25" s="131"/>
      <c r="X25" s="131" t="str">
        <f t="shared" si="3"/>
        <v>⚪</v>
      </c>
      <c r="Y25" s="131"/>
      <c r="Z25" s="131"/>
      <c r="AA25" s="137"/>
    </row>
    <row r="26" ht="15.75" customHeight="1">
      <c r="A26" s="138" t="s">
        <v>680</v>
      </c>
      <c r="B26" s="138" t="s">
        <v>164</v>
      </c>
      <c r="C26" s="138" t="s">
        <v>266</v>
      </c>
      <c r="D26" s="138" t="s">
        <v>33</v>
      </c>
      <c r="E26" s="138" t="s">
        <v>267</v>
      </c>
      <c r="F26" s="138" t="s">
        <v>232</v>
      </c>
      <c r="G26" s="138"/>
      <c r="H26" s="138"/>
      <c r="I26" s="138"/>
      <c r="J26" s="138" t="str">
        <f t="shared" si="1"/>
        <v>⚪</v>
      </c>
      <c r="K26" s="138"/>
      <c r="L26" s="138"/>
      <c r="M26" s="139"/>
      <c r="N26" s="138"/>
      <c r="O26" s="138"/>
      <c r="P26" s="138"/>
      <c r="Q26" s="138" t="str">
        <f t="shared" si="2"/>
        <v>⚪</v>
      </c>
      <c r="R26" s="138"/>
      <c r="S26" s="138"/>
      <c r="T26" s="139"/>
      <c r="U26" s="138"/>
      <c r="V26" s="138"/>
      <c r="W26" s="138"/>
      <c r="X26" s="138" t="str">
        <f t="shared" si="3"/>
        <v>⚪</v>
      </c>
      <c r="Y26" s="138"/>
      <c r="Z26" s="138"/>
      <c r="AA26" s="139"/>
    </row>
    <row r="27" ht="15.75" customHeight="1">
      <c r="A27" s="131" t="s">
        <v>689</v>
      </c>
      <c r="B27" s="131" t="s">
        <v>164</v>
      </c>
      <c r="C27" s="131" t="s">
        <v>280</v>
      </c>
      <c r="D27" s="131" t="s">
        <v>33</v>
      </c>
      <c r="E27" s="131" t="s">
        <v>173</v>
      </c>
      <c r="F27" s="131" t="s">
        <v>232</v>
      </c>
      <c r="G27" s="131"/>
      <c r="H27" s="131"/>
      <c r="I27" s="131"/>
      <c r="J27" s="131" t="str">
        <f t="shared" si="1"/>
        <v>⚪</v>
      </c>
      <c r="K27" s="131"/>
      <c r="L27" s="131"/>
      <c r="M27" s="137"/>
      <c r="N27" s="131"/>
      <c r="O27" s="131"/>
      <c r="P27" s="131"/>
      <c r="Q27" s="131" t="str">
        <f t="shared" si="2"/>
        <v>⚪</v>
      </c>
      <c r="R27" s="131"/>
      <c r="S27" s="131"/>
      <c r="T27" s="137"/>
      <c r="U27" s="131"/>
      <c r="V27" s="131"/>
      <c r="W27" s="131"/>
      <c r="X27" s="131" t="str">
        <f t="shared" si="3"/>
        <v>⚪</v>
      </c>
      <c r="Y27" s="131"/>
      <c r="Z27" s="131"/>
      <c r="AA27" s="137"/>
    </row>
    <row r="28" ht="15.75" customHeight="1">
      <c r="A28" s="138" t="s">
        <v>698</v>
      </c>
      <c r="B28" s="138" t="s">
        <v>164</v>
      </c>
      <c r="C28" s="138" t="s">
        <v>291</v>
      </c>
      <c r="D28" s="138" t="s">
        <v>33</v>
      </c>
      <c r="E28" s="138" t="s">
        <v>173</v>
      </c>
      <c r="F28" s="138" t="s">
        <v>232</v>
      </c>
      <c r="G28" s="138"/>
      <c r="H28" s="138"/>
      <c r="I28" s="138"/>
      <c r="J28" s="138" t="str">
        <f t="shared" si="1"/>
        <v>⚪</v>
      </c>
      <c r="K28" s="138"/>
      <c r="L28" s="138"/>
      <c r="M28" s="139"/>
      <c r="N28" s="159" t="s">
        <v>702</v>
      </c>
      <c r="O28" s="159" t="s">
        <v>703</v>
      </c>
      <c r="P28" s="159" t="s">
        <v>358</v>
      </c>
      <c r="Q28" s="138" t="str">
        <f t="shared" si="2"/>
        <v>⚪</v>
      </c>
      <c r="R28" s="159" t="s">
        <v>704</v>
      </c>
      <c r="S28" s="159" t="s">
        <v>705</v>
      </c>
      <c r="T28" s="133" t="s">
        <v>548</v>
      </c>
      <c r="U28" s="138"/>
      <c r="V28" s="138"/>
      <c r="W28" s="138"/>
      <c r="X28" s="138" t="str">
        <f t="shared" si="3"/>
        <v>⚪</v>
      </c>
      <c r="Y28" s="138"/>
      <c r="Z28" s="138"/>
      <c r="AA28" s="139"/>
    </row>
    <row r="29" ht="15.75" customHeight="1">
      <c r="A29" s="131" t="s">
        <v>709</v>
      </c>
      <c r="B29" s="131" t="s">
        <v>164</v>
      </c>
      <c r="C29" s="131" t="s">
        <v>303</v>
      </c>
      <c r="D29" s="131" t="s">
        <v>33</v>
      </c>
      <c r="E29" s="131" t="s">
        <v>173</v>
      </c>
      <c r="F29" s="131" t="s">
        <v>232</v>
      </c>
      <c r="G29" s="131"/>
      <c r="H29" s="131"/>
      <c r="I29" s="131"/>
      <c r="J29" s="131" t="str">
        <f t="shared" si="1"/>
        <v>⚪</v>
      </c>
      <c r="K29" s="131"/>
      <c r="L29" s="131"/>
      <c r="M29" s="137"/>
      <c r="N29" s="131"/>
      <c r="O29" s="131"/>
      <c r="P29" s="131"/>
      <c r="Q29" s="131" t="str">
        <f t="shared" si="2"/>
        <v>⚪</v>
      </c>
      <c r="R29" s="131"/>
      <c r="S29" s="131"/>
      <c r="T29" s="137"/>
      <c r="U29" s="131"/>
      <c r="V29" s="131"/>
      <c r="W29" s="131"/>
      <c r="X29" s="131" t="str">
        <f t="shared" si="3"/>
        <v>⚪</v>
      </c>
      <c r="Y29" s="131"/>
      <c r="Z29" s="131"/>
      <c r="AA29" s="137"/>
    </row>
    <row r="30" ht="15.75" customHeight="1">
      <c r="A30" s="138" t="s">
        <v>712</v>
      </c>
      <c r="B30" s="138" t="s">
        <v>164</v>
      </c>
      <c r="C30" s="138" t="s">
        <v>309</v>
      </c>
      <c r="D30" s="138" t="s">
        <v>33</v>
      </c>
      <c r="E30" s="138" t="s">
        <v>310</v>
      </c>
      <c r="F30" s="138" t="s">
        <v>232</v>
      </c>
      <c r="G30" s="138"/>
      <c r="H30" s="138"/>
      <c r="I30" s="138"/>
      <c r="J30" s="138" t="str">
        <f t="shared" si="1"/>
        <v>⚪</v>
      </c>
      <c r="K30" s="138"/>
      <c r="L30" s="138"/>
      <c r="M30" s="139"/>
      <c r="N30" s="138"/>
      <c r="O30" s="138"/>
      <c r="P30" s="138"/>
      <c r="Q30" s="138" t="str">
        <f t="shared" si="2"/>
        <v>⚪</v>
      </c>
      <c r="R30" s="138"/>
      <c r="S30" s="138"/>
      <c r="T30" s="139"/>
      <c r="U30" s="138"/>
      <c r="V30" s="138"/>
      <c r="W30" s="138"/>
      <c r="X30" s="138" t="str">
        <f t="shared" si="3"/>
        <v>⚪</v>
      </c>
      <c r="Y30" s="138"/>
      <c r="Z30" s="138"/>
      <c r="AA30" s="139"/>
    </row>
    <row r="31" ht="15.75" customHeight="1">
      <c r="A31" s="131" t="s">
        <v>717</v>
      </c>
      <c r="B31" s="131" t="s">
        <v>164</v>
      </c>
      <c r="C31" s="131" t="s">
        <v>320</v>
      </c>
      <c r="D31" s="131" t="s">
        <v>33</v>
      </c>
      <c r="E31" s="131" t="s">
        <v>160</v>
      </c>
      <c r="F31" s="131" t="s">
        <v>232</v>
      </c>
      <c r="G31" s="131"/>
      <c r="H31" s="131"/>
      <c r="I31" s="131"/>
      <c r="J31" s="131" t="str">
        <f t="shared" si="1"/>
        <v>⚪</v>
      </c>
      <c r="K31" s="131"/>
      <c r="L31" s="131"/>
      <c r="M31" s="137"/>
      <c r="N31" s="131"/>
      <c r="O31" s="131"/>
      <c r="P31" s="131"/>
      <c r="Q31" s="131" t="str">
        <f t="shared" si="2"/>
        <v>⚪</v>
      </c>
      <c r="R31" s="131"/>
      <c r="S31" s="131"/>
      <c r="T31" s="137"/>
      <c r="U31" s="131"/>
      <c r="V31" s="131"/>
      <c r="W31" s="131"/>
      <c r="X31" s="131" t="str">
        <f t="shared" si="3"/>
        <v>⚪</v>
      </c>
      <c r="Y31" s="131"/>
      <c r="Z31" s="131"/>
      <c r="AA31" s="137"/>
    </row>
    <row r="32" ht="15.75" customHeight="1">
      <c r="A32" s="138" t="s">
        <v>724</v>
      </c>
      <c r="B32" s="138" t="s">
        <v>164</v>
      </c>
      <c r="C32" s="138" t="s">
        <v>329</v>
      </c>
      <c r="D32" s="138" t="s">
        <v>33</v>
      </c>
      <c r="E32" s="138" t="s">
        <v>330</v>
      </c>
      <c r="F32" s="138" t="s">
        <v>232</v>
      </c>
      <c r="G32" s="138"/>
      <c r="H32" s="138"/>
      <c r="I32" s="138"/>
      <c r="J32" s="138" t="str">
        <f t="shared" si="1"/>
        <v>⚪</v>
      </c>
      <c r="K32" s="138"/>
      <c r="L32" s="138"/>
      <c r="M32" s="139"/>
      <c r="N32" s="138"/>
      <c r="O32" s="138"/>
      <c r="P32" s="138"/>
      <c r="Q32" s="138" t="str">
        <f t="shared" si="2"/>
        <v>⚪</v>
      </c>
      <c r="R32" s="138"/>
      <c r="S32" s="138"/>
      <c r="T32" s="139"/>
      <c r="U32" s="138"/>
      <c r="V32" s="138"/>
      <c r="W32" s="138"/>
      <c r="X32" s="138" t="str">
        <f t="shared" si="3"/>
        <v>⚪</v>
      </c>
      <c r="Y32" s="138"/>
      <c r="Z32" s="138"/>
      <c r="AA32" s="139"/>
    </row>
    <row r="33" ht="15.75" customHeight="1">
      <c r="A33" s="131" t="s">
        <v>728</v>
      </c>
      <c r="B33" s="131" t="s">
        <v>164</v>
      </c>
      <c r="C33" s="131" t="s">
        <v>334</v>
      </c>
      <c r="D33" s="131" t="s">
        <v>33</v>
      </c>
      <c r="E33" s="131" t="s">
        <v>173</v>
      </c>
      <c r="F33" s="131" t="s">
        <v>232</v>
      </c>
      <c r="G33" s="131"/>
      <c r="H33" s="131"/>
      <c r="I33" s="131"/>
      <c r="J33" s="131" t="str">
        <f t="shared" si="1"/>
        <v>⚪</v>
      </c>
      <c r="K33" s="131"/>
      <c r="L33" s="131"/>
      <c r="M33" s="137"/>
      <c r="N33" s="131"/>
      <c r="O33" s="131"/>
      <c r="P33" s="131"/>
      <c r="Q33" s="131" t="str">
        <f t="shared" si="2"/>
        <v>⚪</v>
      </c>
      <c r="R33" s="131"/>
      <c r="S33" s="131"/>
      <c r="T33" s="137"/>
      <c r="U33" s="131"/>
      <c r="V33" s="131"/>
      <c r="W33" s="131"/>
      <c r="X33" s="131" t="str">
        <f t="shared" si="3"/>
        <v>⚪</v>
      </c>
      <c r="Y33" s="131"/>
      <c r="Z33" s="131"/>
      <c r="AA33" s="137"/>
    </row>
    <row r="34" ht="15.75" customHeight="1">
      <c r="A34" s="138" t="s">
        <v>734</v>
      </c>
      <c r="B34" s="138" t="s">
        <v>164</v>
      </c>
      <c r="C34" s="138" t="s">
        <v>346</v>
      </c>
      <c r="D34" s="138" t="s">
        <v>33</v>
      </c>
      <c r="E34" s="138" t="s">
        <v>310</v>
      </c>
      <c r="F34" s="138" t="s">
        <v>232</v>
      </c>
      <c r="G34" s="138"/>
      <c r="H34" s="138"/>
      <c r="I34" s="138"/>
      <c r="J34" s="138" t="str">
        <f t="shared" si="1"/>
        <v>⚪</v>
      </c>
      <c r="K34" s="138"/>
      <c r="L34" s="138"/>
      <c r="M34" s="139"/>
      <c r="N34" s="138"/>
      <c r="O34" s="138"/>
      <c r="P34" s="138"/>
      <c r="Q34" s="138" t="str">
        <f t="shared" si="2"/>
        <v>⚪</v>
      </c>
      <c r="R34" s="138"/>
      <c r="S34" s="138"/>
      <c r="T34" s="139"/>
      <c r="U34" s="138"/>
      <c r="V34" s="138"/>
      <c r="W34" s="138"/>
      <c r="X34" s="138" t="str">
        <f t="shared" si="3"/>
        <v>⚪</v>
      </c>
      <c r="Y34" s="138"/>
      <c r="Z34" s="138"/>
      <c r="AA34" s="139"/>
    </row>
    <row r="35" ht="15.75" customHeight="1">
      <c r="A35" s="131" t="s">
        <v>740</v>
      </c>
      <c r="B35" s="131" t="s">
        <v>186</v>
      </c>
      <c r="C35" s="131" t="s">
        <v>350</v>
      </c>
      <c r="D35" s="131" t="s">
        <v>33</v>
      </c>
      <c r="E35" s="131" t="s">
        <v>133</v>
      </c>
      <c r="F35" s="131" t="s">
        <v>351</v>
      </c>
      <c r="G35" s="131"/>
      <c r="H35" s="131"/>
      <c r="I35" s="131"/>
      <c r="J35" s="131" t="str">
        <f t="shared" si="1"/>
        <v>⚪</v>
      </c>
      <c r="K35" s="131"/>
      <c r="L35" s="131"/>
      <c r="M35" s="137"/>
      <c r="N35" s="131"/>
      <c r="O35" s="131"/>
      <c r="P35" s="131"/>
      <c r="Q35" s="131" t="str">
        <f t="shared" si="2"/>
        <v>⚪</v>
      </c>
      <c r="R35" s="131"/>
      <c r="S35" s="131"/>
      <c r="T35" s="137"/>
      <c r="U35" s="131"/>
      <c r="V35" s="131"/>
      <c r="W35" s="131"/>
      <c r="X35" s="131" t="str">
        <f t="shared" si="3"/>
        <v>⚪</v>
      </c>
      <c r="Y35" s="131"/>
      <c r="Z35" s="131"/>
      <c r="AA35" s="137"/>
    </row>
    <row r="36" ht="15.75" customHeight="1">
      <c r="A36" s="138" t="s">
        <v>743</v>
      </c>
      <c r="B36" s="138" t="s">
        <v>186</v>
      </c>
      <c r="C36" s="138" t="s">
        <v>354</v>
      </c>
      <c r="D36" s="138" t="s">
        <v>33</v>
      </c>
      <c r="E36" s="138" t="s">
        <v>356</v>
      </c>
      <c r="F36" s="138" t="s">
        <v>351</v>
      </c>
      <c r="G36" s="138"/>
      <c r="H36" s="138"/>
      <c r="I36" s="138"/>
      <c r="J36" s="138" t="str">
        <f t="shared" si="1"/>
        <v>⚪</v>
      </c>
      <c r="K36" s="138"/>
      <c r="L36" s="138"/>
      <c r="M36" s="139"/>
      <c r="N36" s="138"/>
      <c r="O36" s="138"/>
      <c r="P36" s="138"/>
      <c r="Q36" s="138" t="str">
        <f t="shared" si="2"/>
        <v>⚪</v>
      </c>
      <c r="R36" s="138"/>
      <c r="S36" s="138"/>
      <c r="T36" s="139"/>
      <c r="U36" s="138"/>
      <c r="V36" s="138"/>
      <c r="W36" s="138"/>
      <c r="X36" s="138" t="str">
        <f t="shared" si="3"/>
        <v>⚪</v>
      </c>
      <c r="Y36" s="138"/>
      <c r="Z36" s="138"/>
      <c r="AA36" s="139"/>
    </row>
    <row r="37" ht="15.75" customHeight="1">
      <c r="A37" s="131" t="s">
        <v>750</v>
      </c>
      <c r="B37" s="131" t="s">
        <v>186</v>
      </c>
      <c r="C37" s="131" t="s">
        <v>362</v>
      </c>
      <c r="D37" s="131" t="s">
        <v>33</v>
      </c>
      <c r="E37" s="131" t="s">
        <v>133</v>
      </c>
      <c r="F37" s="131" t="s">
        <v>351</v>
      </c>
      <c r="G37" s="131"/>
      <c r="H37" s="131"/>
      <c r="I37" s="131"/>
      <c r="J37" s="131" t="str">
        <f t="shared" si="1"/>
        <v>⚪</v>
      </c>
      <c r="K37" s="131"/>
      <c r="L37" s="131"/>
      <c r="M37" s="137"/>
      <c r="N37" s="131"/>
      <c r="O37" s="131"/>
      <c r="P37" s="131"/>
      <c r="Q37" s="131" t="str">
        <f t="shared" si="2"/>
        <v>⚪</v>
      </c>
      <c r="R37" s="131"/>
      <c r="S37" s="131"/>
      <c r="T37" s="137"/>
      <c r="U37" s="131"/>
      <c r="V37" s="131"/>
      <c r="W37" s="131"/>
      <c r="X37" s="131" t="str">
        <f t="shared" si="3"/>
        <v>⚪</v>
      </c>
      <c r="Y37" s="131"/>
      <c r="Z37" s="131"/>
      <c r="AA37" s="137"/>
    </row>
    <row r="38" ht="15.75" customHeight="1">
      <c r="A38" s="138" t="s">
        <v>755</v>
      </c>
      <c r="B38" s="138" t="s">
        <v>186</v>
      </c>
      <c r="C38" s="138" t="s">
        <v>222</v>
      </c>
      <c r="D38" s="138" t="s">
        <v>14</v>
      </c>
      <c r="E38" s="138" t="s">
        <v>756</v>
      </c>
      <c r="F38" s="138" t="s">
        <v>232</v>
      </c>
      <c r="G38" s="159" t="s">
        <v>757</v>
      </c>
      <c r="H38" s="159" t="s">
        <v>568</v>
      </c>
      <c r="I38" s="159" t="s">
        <v>240</v>
      </c>
      <c r="J38" s="138" t="str">
        <f t="shared" si="1"/>
        <v>🟢</v>
      </c>
      <c r="K38" s="159" t="s">
        <v>758</v>
      </c>
      <c r="L38" s="159" t="s">
        <v>759</v>
      </c>
      <c r="M38" s="159" t="s">
        <v>304</v>
      </c>
      <c r="N38" s="159" t="s">
        <v>757</v>
      </c>
      <c r="O38" s="159" t="s">
        <v>568</v>
      </c>
      <c r="P38" s="159" t="s">
        <v>240</v>
      </c>
      <c r="Q38" s="138" t="str">
        <f t="shared" si="2"/>
        <v>🟢</v>
      </c>
      <c r="R38" s="159" t="s">
        <v>763</v>
      </c>
      <c r="S38" s="159" t="s">
        <v>759</v>
      </c>
      <c r="T38" s="159" t="s">
        <v>304</v>
      </c>
      <c r="U38" s="138"/>
      <c r="V38" s="138"/>
      <c r="W38" s="138"/>
      <c r="X38" s="138" t="str">
        <f t="shared" si="3"/>
        <v>⚪</v>
      </c>
      <c r="Y38" s="138"/>
      <c r="Z38" s="138"/>
      <c r="AA38" s="139"/>
    </row>
    <row r="39" ht="15.75" customHeight="1">
      <c r="A39" s="131" t="s">
        <v>764</v>
      </c>
      <c r="B39" s="131" t="s">
        <v>186</v>
      </c>
      <c r="C39" s="131" t="s">
        <v>364</v>
      </c>
      <c r="D39" s="131" t="s">
        <v>33</v>
      </c>
      <c r="E39" s="131" t="s">
        <v>365</v>
      </c>
      <c r="F39" s="131" t="s">
        <v>232</v>
      </c>
      <c r="G39" s="131"/>
      <c r="H39" s="131"/>
      <c r="I39" s="131"/>
      <c r="J39" s="131" t="str">
        <f t="shared" si="1"/>
        <v>⚪</v>
      </c>
      <c r="K39" s="131"/>
      <c r="L39" s="131"/>
      <c r="M39" s="137"/>
      <c r="N39" s="131"/>
      <c r="O39" s="131"/>
      <c r="P39" s="131"/>
      <c r="Q39" s="131" t="str">
        <f t="shared" si="2"/>
        <v>⚪</v>
      </c>
      <c r="R39" s="131"/>
      <c r="S39" s="131"/>
      <c r="T39" s="137"/>
      <c r="U39" s="131"/>
      <c r="V39" s="131"/>
      <c r="W39" s="131"/>
      <c r="X39" s="131" t="str">
        <f t="shared" si="3"/>
        <v>⚪</v>
      </c>
      <c r="Y39" s="131"/>
      <c r="Z39" s="131"/>
      <c r="AA39" s="137"/>
    </row>
    <row r="40" ht="15.75" customHeight="1">
      <c r="A40" s="138" t="s">
        <v>769</v>
      </c>
      <c r="B40" s="138" t="s">
        <v>186</v>
      </c>
      <c r="C40" s="138" t="s">
        <v>369</v>
      </c>
      <c r="D40" s="138" t="s">
        <v>33</v>
      </c>
      <c r="E40" s="138" t="s">
        <v>356</v>
      </c>
      <c r="F40" s="138" t="s">
        <v>370</v>
      </c>
      <c r="G40" s="138"/>
      <c r="H40" s="138"/>
      <c r="I40" s="138"/>
      <c r="J40" s="138" t="str">
        <f t="shared" si="1"/>
        <v>⚪</v>
      </c>
      <c r="K40" s="138"/>
      <c r="L40" s="138"/>
      <c r="M40" s="139"/>
      <c r="N40" s="138"/>
      <c r="O40" s="138"/>
      <c r="P40" s="138"/>
      <c r="Q40" s="138" t="str">
        <f t="shared" si="2"/>
        <v>⚪</v>
      </c>
      <c r="R40" s="138"/>
      <c r="S40" s="138"/>
      <c r="T40" s="139"/>
      <c r="U40" s="138"/>
      <c r="V40" s="138"/>
      <c r="W40" s="138"/>
      <c r="X40" s="138" t="str">
        <f t="shared" si="3"/>
        <v>⚪</v>
      </c>
      <c r="Y40" s="138"/>
      <c r="Z40" s="138"/>
      <c r="AA40" s="139"/>
    </row>
    <row r="41" ht="15.75" customHeight="1">
      <c r="A41" s="131" t="s">
        <v>774</v>
      </c>
      <c r="B41" s="131" t="s">
        <v>186</v>
      </c>
      <c r="C41" s="131" t="s">
        <v>322</v>
      </c>
      <c r="D41" s="131" t="s">
        <v>24</v>
      </c>
      <c r="E41" s="131" t="s">
        <v>777</v>
      </c>
      <c r="F41" s="131" t="s">
        <v>232</v>
      </c>
      <c r="G41" s="133" t="s">
        <v>778</v>
      </c>
      <c r="H41" s="159" t="s">
        <v>568</v>
      </c>
      <c r="I41" s="159" t="s">
        <v>240</v>
      </c>
      <c r="J41" s="131" t="str">
        <f t="shared" si="1"/>
        <v>🟢</v>
      </c>
      <c r="K41" s="74" t="s">
        <v>779</v>
      </c>
      <c r="L41" s="159" t="s">
        <v>780</v>
      </c>
      <c r="M41" s="159" t="s">
        <v>304</v>
      </c>
      <c r="N41" s="133" t="s">
        <v>778</v>
      </c>
      <c r="O41" s="159" t="s">
        <v>568</v>
      </c>
      <c r="P41" s="74" t="s">
        <v>240</v>
      </c>
      <c r="Q41" s="131" t="str">
        <f t="shared" si="2"/>
        <v>🟢</v>
      </c>
      <c r="R41" s="74" t="s">
        <v>781</v>
      </c>
      <c r="S41" s="159" t="s">
        <v>780</v>
      </c>
      <c r="T41" s="159" t="s">
        <v>304</v>
      </c>
      <c r="U41" s="131"/>
      <c r="V41" s="131"/>
      <c r="W41" s="131"/>
      <c r="X41" s="131" t="str">
        <f t="shared" si="3"/>
        <v>⚪</v>
      </c>
      <c r="Y41" s="131"/>
      <c r="Z41" s="131"/>
      <c r="AA41" s="137"/>
    </row>
    <row r="42" ht="15.75" customHeight="1">
      <c r="A42" s="138" t="s">
        <v>783</v>
      </c>
      <c r="B42" s="138" t="s">
        <v>239</v>
      </c>
      <c r="C42" s="138" t="s">
        <v>374</v>
      </c>
      <c r="D42" s="138" t="s">
        <v>33</v>
      </c>
      <c r="E42" s="138" t="s">
        <v>133</v>
      </c>
      <c r="F42" s="138" t="s">
        <v>176</v>
      </c>
      <c r="G42" s="138"/>
      <c r="H42" s="138"/>
      <c r="I42" s="138"/>
      <c r="J42" s="138" t="str">
        <f t="shared" si="1"/>
        <v>⚪</v>
      </c>
      <c r="K42" s="138"/>
      <c r="L42" s="138"/>
      <c r="M42" s="139"/>
      <c r="N42" s="159" t="s">
        <v>503</v>
      </c>
      <c r="O42" s="159" t="s">
        <v>785</v>
      </c>
      <c r="P42" s="159" t="s">
        <v>16</v>
      </c>
      <c r="Q42" s="138" t="str">
        <f t="shared" si="2"/>
        <v>🟡</v>
      </c>
      <c r="R42" s="159" t="s">
        <v>786</v>
      </c>
      <c r="S42" s="138"/>
      <c r="T42" s="133" t="s">
        <v>548</v>
      </c>
      <c r="U42" s="138"/>
      <c r="V42" s="138"/>
      <c r="W42" s="138"/>
      <c r="X42" s="138" t="str">
        <f t="shared" si="3"/>
        <v>⚪</v>
      </c>
      <c r="Y42" s="138"/>
      <c r="Z42" s="138"/>
      <c r="AA42" s="139"/>
    </row>
    <row r="43" ht="15.75" customHeight="1">
      <c r="A43" s="131" t="s">
        <v>790</v>
      </c>
      <c r="B43" s="131" t="s">
        <v>239</v>
      </c>
      <c r="C43" s="131" t="s">
        <v>386</v>
      </c>
      <c r="D43" s="131" t="s">
        <v>33</v>
      </c>
      <c r="E43" s="131" t="s">
        <v>387</v>
      </c>
      <c r="F43" s="131" t="s">
        <v>176</v>
      </c>
      <c r="G43" s="131"/>
      <c r="H43" s="131"/>
      <c r="I43" s="131"/>
      <c r="J43" s="131" t="str">
        <f t="shared" si="1"/>
        <v>⚪</v>
      </c>
      <c r="K43" s="131"/>
      <c r="L43" s="131"/>
      <c r="M43" s="137"/>
      <c r="N43" s="133" t="s">
        <v>517</v>
      </c>
      <c r="O43" s="159" t="s">
        <v>785</v>
      </c>
      <c r="P43" s="133" t="s">
        <v>304</v>
      </c>
      <c r="Q43" s="131" t="str">
        <f t="shared" si="2"/>
        <v>⚪</v>
      </c>
      <c r="R43" s="133" t="s">
        <v>388</v>
      </c>
      <c r="S43" s="133" t="s">
        <v>794</v>
      </c>
      <c r="T43" s="133" t="s">
        <v>548</v>
      </c>
      <c r="U43" s="131"/>
      <c r="V43" s="131"/>
      <c r="W43" s="131"/>
      <c r="X43" s="131" t="str">
        <f t="shared" si="3"/>
        <v>⚪</v>
      </c>
      <c r="Y43" s="131"/>
      <c r="Z43" s="131"/>
      <c r="AA43" s="137"/>
    </row>
    <row r="44" ht="15.75" customHeight="1">
      <c r="A44" s="138" t="s">
        <v>795</v>
      </c>
      <c r="B44" s="138" t="s">
        <v>239</v>
      </c>
      <c r="C44" s="138" t="s">
        <v>389</v>
      </c>
      <c r="D44" s="138" t="s">
        <v>33</v>
      </c>
      <c r="E44" s="138" t="s">
        <v>133</v>
      </c>
      <c r="F44" s="138" t="s">
        <v>162</v>
      </c>
      <c r="G44" s="138"/>
      <c r="H44" s="138"/>
      <c r="I44" s="138"/>
      <c r="J44" s="138" t="str">
        <f t="shared" si="1"/>
        <v>⚪</v>
      </c>
      <c r="K44" s="138"/>
      <c r="L44" s="138"/>
      <c r="M44" s="139"/>
      <c r="N44" s="138"/>
      <c r="O44" s="138"/>
      <c r="P44" s="138"/>
      <c r="Q44" s="138" t="str">
        <f t="shared" si="2"/>
        <v>⚪</v>
      </c>
      <c r="R44" s="138"/>
      <c r="S44" s="159" t="s">
        <v>800</v>
      </c>
      <c r="T44" s="139"/>
      <c r="U44" s="138"/>
      <c r="V44" s="138"/>
      <c r="W44" s="138"/>
      <c r="X44" s="138" t="str">
        <f t="shared" si="3"/>
        <v>⚪</v>
      </c>
      <c r="Y44" s="138"/>
      <c r="Z44" s="138"/>
      <c r="AA44" s="139"/>
    </row>
    <row r="45" ht="15.75" customHeight="1">
      <c r="A45" s="131" t="s">
        <v>801</v>
      </c>
      <c r="B45" s="131" t="s">
        <v>239</v>
      </c>
      <c r="C45" s="131" t="s">
        <v>397</v>
      </c>
      <c r="D45" s="131" t="s">
        <v>33</v>
      </c>
      <c r="E45" s="131" t="s">
        <v>398</v>
      </c>
      <c r="F45" s="131" t="s">
        <v>176</v>
      </c>
      <c r="G45" s="131"/>
      <c r="H45" s="131"/>
      <c r="I45" s="131"/>
      <c r="J45" s="131" t="str">
        <f t="shared" si="1"/>
        <v>⚪</v>
      </c>
      <c r="K45" s="131"/>
      <c r="L45" s="131"/>
      <c r="M45" s="137"/>
      <c r="N45" s="133" t="s">
        <v>527</v>
      </c>
      <c r="O45" s="159" t="s">
        <v>785</v>
      </c>
      <c r="P45" s="159" t="s">
        <v>16</v>
      </c>
      <c r="Q45" s="131" t="str">
        <f t="shared" si="2"/>
        <v>🟡</v>
      </c>
      <c r="R45" s="133" t="s">
        <v>805</v>
      </c>
      <c r="S45" s="133" t="s">
        <v>806</v>
      </c>
      <c r="T45" s="133" t="s">
        <v>548</v>
      </c>
      <c r="U45" s="131"/>
      <c r="V45" s="131"/>
      <c r="W45" s="131"/>
      <c r="X45" s="131" t="str">
        <f t="shared" si="3"/>
        <v>⚪</v>
      </c>
      <c r="Y45" s="131"/>
      <c r="Z45" s="131"/>
      <c r="AA45" s="137"/>
    </row>
    <row r="46" ht="15.75" customHeight="1">
      <c r="A46" s="138" t="s">
        <v>807</v>
      </c>
      <c r="B46" s="138" t="s">
        <v>239</v>
      </c>
      <c r="C46" s="138" t="s">
        <v>401</v>
      </c>
      <c r="D46" s="138" t="s">
        <v>33</v>
      </c>
      <c r="E46" s="138" t="s">
        <v>402</v>
      </c>
      <c r="F46" s="138" t="s">
        <v>176</v>
      </c>
      <c r="G46" s="138"/>
      <c r="H46" s="138"/>
      <c r="I46" s="138"/>
      <c r="J46" s="138" t="str">
        <f t="shared" si="1"/>
        <v>⚪</v>
      </c>
      <c r="K46" s="138"/>
      <c r="L46" s="138"/>
      <c r="M46" s="139"/>
      <c r="N46" s="159" t="s">
        <v>537</v>
      </c>
      <c r="O46" s="159" t="s">
        <v>785</v>
      </c>
      <c r="P46" s="159" t="s">
        <v>16</v>
      </c>
      <c r="Q46" s="138" t="str">
        <f t="shared" si="2"/>
        <v>🟡</v>
      </c>
      <c r="R46" s="159" t="s">
        <v>812</v>
      </c>
      <c r="S46" s="159" t="s">
        <v>814</v>
      </c>
      <c r="T46" s="133" t="s">
        <v>548</v>
      </c>
      <c r="U46" s="138"/>
      <c r="V46" s="138"/>
      <c r="W46" s="138"/>
      <c r="X46" s="138" t="str">
        <f t="shared" si="3"/>
        <v>⚪</v>
      </c>
      <c r="Y46" s="138"/>
      <c r="Z46" s="138"/>
      <c r="AA46" s="139"/>
    </row>
    <row r="47" ht="15.75" customHeight="1">
      <c r="A47" s="131" t="s">
        <v>815</v>
      </c>
      <c r="B47" s="131" t="s">
        <v>239</v>
      </c>
      <c r="C47" s="131" t="s">
        <v>412</v>
      </c>
      <c r="D47" s="131" t="s">
        <v>33</v>
      </c>
      <c r="E47" s="131" t="s">
        <v>414</v>
      </c>
      <c r="F47" s="131" t="s">
        <v>162</v>
      </c>
      <c r="G47" s="131"/>
      <c r="H47" s="131"/>
      <c r="I47" s="131"/>
      <c r="J47" s="131" t="str">
        <f t="shared" si="1"/>
        <v>⚪</v>
      </c>
      <c r="K47" s="131"/>
      <c r="L47" s="131"/>
      <c r="M47" s="137"/>
      <c r="N47" s="131"/>
      <c r="O47" s="131"/>
      <c r="P47" s="131"/>
      <c r="Q47" s="131" t="str">
        <f t="shared" si="2"/>
        <v>⚪</v>
      </c>
      <c r="R47" s="131"/>
      <c r="S47" s="131"/>
      <c r="T47" s="137"/>
      <c r="U47" s="131"/>
      <c r="V47" s="131"/>
      <c r="W47" s="131"/>
      <c r="X47" s="131" t="str">
        <f t="shared" si="3"/>
        <v>⚪</v>
      </c>
      <c r="Y47" s="131"/>
      <c r="Z47" s="131"/>
      <c r="AA47" s="137"/>
    </row>
    <row r="48" ht="15.75" customHeight="1">
      <c r="A48" s="138" t="s">
        <v>820</v>
      </c>
      <c r="B48" s="138" t="s">
        <v>239</v>
      </c>
      <c r="C48" s="138" t="s">
        <v>344</v>
      </c>
      <c r="D48" s="138" t="s">
        <v>24</v>
      </c>
      <c r="E48" s="138" t="s">
        <v>173</v>
      </c>
      <c r="F48" s="138" t="s">
        <v>162</v>
      </c>
      <c r="G48" s="133" t="s">
        <v>821</v>
      </c>
      <c r="H48" s="159" t="s">
        <v>568</v>
      </c>
      <c r="I48" s="159" t="s">
        <v>823</v>
      </c>
      <c r="J48" s="138" t="str">
        <f t="shared" si="1"/>
        <v>🔴</v>
      </c>
      <c r="K48" s="159" t="s">
        <v>825</v>
      </c>
      <c r="L48" s="159" t="s">
        <v>826</v>
      </c>
      <c r="M48" s="159" t="s">
        <v>304</v>
      </c>
      <c r="N48" s="133" t="s">
        <v>821</v>
      </c>
      <c r="O48" s="159" t="s">
        <v>703</v>
      </c>
      <c r="P48" s="138"/>
      <c r="Q48" s="138" t="str">
        <f t="shared" si="2"/>
        <v>⚪</v>
      </c>
      <c r="R48" s="159" t="s">
        <v>827</v>
      </c>
      <c r="S48" s="138"/>
      <c r="T48" s="189">
        <v>46150.0</v>
      </c>
      <c r="U48" s="138"/>
      <c r="V48" s="138"/>
      <c r="W48" s="138"/>
      <c r="X48" s="138" t="str">
        <f t="shared" si="3"/>
        <v>⚪</v>
      </c>
      <c r="Y48" s="138"/>
      <c r="Z48" s="138"/>
      <c r="AA48" s="139"/>
    </row>
    <row r="49" ht="15.75" customHeight="1">
      <c r="A49" s="131" t="s">
        <v>831</v>
      </c>
      <c r="B49" s="131" t="s">
        <v>239</v>
      </c>
      <c r="C49" s="131" t="s">
        <v>834</v>
      </c>
      <c r="D49" s="131" t="s">
        <v>24</v>
      </c>
      <c r="E49" s="131" t="s">
        <v>835</v>
      </c>
      <c r="F49" s="131" t="s">
        <v>137</v>
      </c>
      <c r="G49" s="131"/>
      <c r="H49" s="131"/>
      <c r="I49" s="131"/>
      <c r="J49" s="131" t="str">
        <f t="shared" si="1"/>
        <v>⚪</v>
      </c>
      <c r="K49" s="131"/>
      <c r="L49" s="131"/>
      <c r="M49" s="137"/>
      <c r="N49" s="131"/>
      <c r="O49" s="131"/>
      <c r="P49" s="131"/>
      <c r="Q49" s="131" t="str">
        <f t="shared" si="2"/>
        <v>⚪</v>
      </c>
      <c r="R49" s="131"/>
      <c r="S49" s="131"/>
      <c r="T49" s="137"/>
      <c r="U49" s="131"/>
      <c r="V49" s="131"/>
      <c r="W49" s="131"/>
      <c r="X49" s="131" t="str">
        <f t="shared" si="3"/>
        <v>⚪</v>
      </c>
      <c r="Y49" s="131"/>
      <c r="Z49" s="131"/>
      <c r="AA49" s="137"/>
    </row>
    <row r="50" ht="15.75" customHeight="1">
      <c r="A50" s="138" t="s">
        <v>839</v>
      </c>
      <c r="B50" s="138" t="s">
        <v>239</v>
      </c>
      <c r="C50" s="138" t="s">
        <v>420</v>
      </c>
      <c r="D50" s="138" t="s">
        <v>33</v>
      </c>
      <c r="E50" s="138" t="s">
        <v>267</v>
      </c>
      <c r="F50" s="138" t="s">
        <v>232</v>
      </c>
      <c r="G50" s="138"/>
      <c r="H50" s="138"/>
      <c r="I50" s="138"/>
      <c r="J50" s="138" t="str">
        <f t="shared" si="1"/>
        <v>⚪</v>
      </c>
      <c r="K50" s="138"/>
      <c r="L50" s="138"/>
      <c r="M50" s="139"/>
      <c r="N50" s="138"/>
      <c r="O50" s="138"/>
      <c r="P50" s="138"/>
      <c r="Q50" s="138" t="str">
        <f t="shared" si="2"/>
        <v>⚪</v>
      </c>
      <c r="R50" s="138"/>
      <c r="S50" s="138"/>
      <c r="T50" s="139"/>
      <c r="U50" s="138"/>
      <c r="V50" s="138"/>
      <c r="W50" s="138"/>
      <c r="X50" s="138" t="str">
        <f t="shared" si="3"/>
        <v>⚪</v>
      </c>
      <c r="Y50" s="138"/>
      <c r="Z50" s="138"/>
      <c r="AA50" s="139"/>
    </row>
    <row r="51" ht="15.75" customHeight="1">
      <c r="A51" s="131" t="s">
        <v>842</v>
      </c>
      <c r="B51" s="131" t="s">
        <v>268</v>
      </c>
      <c r="C51" s="131" t="s">
        <v>424</v>
      </c>
      <c r="D51" s="131" t="s">
        <v>33</v>
      </c>
      <c r="E51" s="131" t="s">
        <v>133</v>
      </c>
      <c r="F51" s="131" t="s">
        <v>162</v>
      </c>
      <c r="G51" s="131"/>
      <c r="H51" s="131"/>
      <c r="I51" s="131"/>
      <c r="J51" s="131" t="str">
        <f t="shared" si="1"/>
        <v>⚪</v>
      </c>
      <c r="K51" s="131"/>
      <c r="L51" s="131"/>
      <c r="M51" s="137"/>
      <c r="N51" s="131"/>
      <c r="O51" s="131"/>
      <c r="P51" s="131"/>
      <c r="Q51" s="131" t="str">
        <f t="shared" si="2"/>
        <v>⚪</v>
      </c>
      <c r="R51" s="131"/>
      <c r="S51" s="131"/>
      <c r="T51" s="137"/>
      <c r="U51" s="131"/>
      <c r="V51" s="131"/>
      <c r="W51" s="131"/>
      <c r="X51" s="131" t="str">
        <f t="shared" si="3"/>
        <v>⚪</v>
      </c>
      <c r="Y51" s="131"/>
      <c r="Z51" s="131"/>
      <c r="AA51" s="137"/>
    </row>
    <row r="52" ht="15.75" customHeight="1">
      <c r="A52" s="138" t="s">
        <v>845</v>
      </c>
      <c r="B52" s="138" t="s">
        <v>268</v>
      </c>
      <c r="C52" s="138" t="s">
        <v>431</v>
      </c>
      <c r="D52" s="138" t="s">
        <v>33</v>
      </c>
      <c r="E52" s="138" t="s">
        <v>173</v>
      </c>
      <c r="F52" s="138" t="s">
        <v>162</v>
      </c>
      <c r="G52" s="138"/>
      <c r="H52" s="138"/>
      <c r="I52" s="138"/>
      <c r="J52" s="138" t="str">
        <f t="shared" si="1"/>
        <v>⚪</v>
      </c>
      <c r="K52" s="138"/>
      <c r="L52" s="138"/>
      <c r="M52" s="139"/>
      <c r="N52" s="138"/>
      <c r="O52" s="138"/>
      <c r="P52" s="138"/>
      <c r="Q52" s="138" t="str">
        <f t="shared" si="2"/>
        <v>⚪</v>
      </c>
      <c r="R52" s="138"/>
      <c r="S52" s="138"/>
      <c r="T52" s="139"/>
      <c r="U52" s="138"/>
      <c r="V52" s="138"/>
      <c r="W52" s="138"/>
      <c r="X52" s="138" t="str">
        <f t="shared" si="3"/>
        <v>⚪</v>
      </c>
      <c r="Y52" s="138"/>
      <c r="Z52" s="138"/>
      <c r="AA52" s="139"/>
    </row>
    <row r="53" ht="15.75" customHeight="1">
      <c r="A53" s="131" t="s">
        <v>849</v>
      </c>
      <c r="B53" s="131" t="s">
        <v>268</v>
      </c>
      <c r="C53" s="131" t="s">
        <v>439</v>
      </c>
      <c r="D53" s="131" t="s">
        <v>33</v>
      </c>
      <c r="E53" s="131" t="s">
        <v>133</v>
      </c>
      <c r="F53" s="131" t="s">
        <v>162</v>
      </c>
      <c r="G53" s="131"/>
      <c r="H53" s="131"/>
      <c r="I53" s="131"/>
      <c r="J53" s="131" t="str">
        <f t="shared" si="1"/>
        <v>⚪</v>
      </c>
      <c r="K53" s="131"/>
      <c r="L53" s="131"/>
      <c r="M53" s="137"/>
      <c r="N53" s="131"/>
      <c r="O53" s="131"/>
      <c r="P53" s="131"/>
      <c r="Q53" s="131" t="str">
        <f t="shared" si="2"/>
        <v>⚪</v>
      </c>
      <c r="R53" s="131"/>
      <c r="S53" s="131"/>
      <c r="T53" s="137"/>
      <c r="U53" s="131"/>
      <c r="V53" s="131"/>
      <c r="W53" s="131"/>
      <c r="X53" s="131" t="str">
        <f t="shared" si="3"/>
        <v>⚪</v>
      </c>
      <c r="Y53" s="131"/>
      <c r="Z53" s="131"/>
      <c r="AA53" s="137"/>
    </row>
    <row r="54" ht="15.75" customHeight="1">
      <c r="A54" s="138" t="s">
        <v>852</v>
      </c>
      <c r="B54" s="138" t="s">
        <v>268</v>
      </c>
      <c r="C54" s="138" t="s">
        <v>446</v>
      </c>
      <c r="D54" s="138" t="s">
        <v>33</v>
      </c>
      <c r="E54" s="138" t="s">
        <v>356</v>
      </c>
      <c r="F54" s="138" t="s">
        <v>162</v>
      </c>
      <c r="G54" s="138"/>
      <c r="H54" s="138"/>
      <c r="I54" s="138"/>
      <c r="J54" s="138" t="str">
        <f t="shared" si="1"/>
        <v>⚪</v>
      </c>
      <c r="K54" s="138"/>
      <c r="L54" s="138"/>
      <c r="M54" s="139"/>
      <c r="N54" s="138"/>
      <c r="O54" s="138"/>
      <c r="P54" s="138"/>
      <c r="Q54" s="138" t="str">
        <f t="shared" si="2"/>
        <v>⚪</v>
      </c>
      <c r="R54" s="138"/>
      <c r="S54" s="138"/>
      <c r="T54" s="139"/>
      <c r="U54" s="138"/>
      <c r="V54" s="138"/>
      <c r="W54" s="138"/>
      <c r="X54" s="138" t="str">
        <f t="shared" si="3"/>
        <v>⚪</v>
      </c>
      <c r="Y54" s="138"/>
      <c r="Z54" s="138"/>
      <c r="AA54" s="139"/>
    </row>
    <row r="55" ht="15.75" customHeight="1">
      <c r="A55" s="131" t="s">
        <v>855</v>
      </c>
      <c r="B55" s="131" t="s">
        <v>268</v>
      </c>
      <c r="C55" s="131" t="s">
        <v>450</v>
      </c>
      <c r="D55" s="131" t="s">
        <v>33</v>
      </c>
      <c r="E55" s="131" t="s">
        <v>173</v>
      </c>
      <c r="F55" s="131" t="s">
        <v>162</v>
      </c>
      <c r="G55" s="131"/>
      <c r="H55" s="131"/>
      <c r="I55" s="131"/>
      <c r="J55" s="131" t="str">
        <f t="shared" si="1"/>
        <v>⚪</v>
      </c>
      <c r="K55" s="131"/>
      <c r="L55" s="131"/>
      <c r="M55" s="137"/>
      <c r="N55" s="131"/>
      <c r="O55" s="131"/>
      <c r="P55" s="131"/>
      <c r="Q55" s="131" t="str">
        <f t="shared" si="2"/>
        <v>⚪</v>
      </c>
      <c r="R55" s="131"/>
      <c r="S55" s="131"/>
      <c r="T55" s="137"/>
      <c r="U55" s="131"/>
      <c r="V55" s="131"/>
      <c r="W55" s="131"/>
      <c r="X55" s="131" t="str">
        <f t="shared" si="3"/>
        <v>⚪</v>
      </c>
      <c r="Y55" s="131"/>
      <c r="Z55" s="131"/>
      <c r="AA55" s="137"/>
    </row>
    <row r="56" ht="15.75" customHeight="1">
      <c r="A56" s="138" t="s">
        <v>862</v>
      </c>
      <c r="B56" s="138" t="s">
        <v>268</v>
      </c>
      <c r="C56" s="138" t="s">
        <v>458</v>
      </c>
      <c r="D56" s="138" t="s">
        <v>33</v>
      </c>
      <c r="E56" s="138" t="s">
        <v>141</v>
      </c>
      <c r="F56" s="138" t="s">
        <v>162</v>
      </c>
      <c r="G56" s="138"/>
      <c r="H56" s="138"/>
      <c r="I56" s="138"/>
      <c r="J56" s="138" t="str">
        <f t="shared" si="1"/>
        <v>⚪</v>
      </c>
      <c r="K56" s="138"/>
      <c r="L56" s="138"/>
      <c r="M56" s="139"/>
      <c r="N56" s="138"/>
      <c r="O56" s="138"/>
      <c r="P56" s="138"/>
      <c r="Q56" s="138" t="str">
        <f t="shared" si="2"/>
        <v>⚪</v>
      </c>
      <c r="R56" s="138"/>
      <c r="S56" s="138"/>
      <c r="T56" s="139"/>
      <c r="U56" s="138"/>
      <c r="V56" s="138"/>
      <c r="W56" s="138"/>
      <c r="X56" s="138" t="str">
        <f t="shared" si="3"/>
        <v>⚪</v>
      </c>
      <c r="Y56" s="138"/>
      <c r="Z56" s="138"/>
      <c r="AA56" s="139"/>
    </row>
    <row r="57" ht="15.75" customHeight="1">
      <c r="A57" s="131" t="s">
        <v>865</v>
      </c>
      <c r="B57" s="131" t="s">
        <v>268</v>
      </c>
      <c r="C57" s="131" t="s">
        <v>463</v>
      </c>
      <c r="D57" s="131" t="s">
        <v>33</v>
      </c>
      <c r="E57" s="131" t="s">
        <v>465</v>
      </c>
      <c r="F57" s="131" t="s">
        <v>162</v>
      </c>
      <c r="G57" s="131"/>
      <c r="H57" s="131"/>
      <c r="I57" s="131"/>
      <c r="J57" s="131" t="str">
        <f t="shared" si="1"/>
        <v>⚪</v>
      </c>
      <c r="K57" s="131"/>
      <c r="L57" s="131"/>
      <c r="M57" s="137"/>
      <c r="N57" s="131"/>
      <c r="O57" s="131"/>
      <c r="P57" s="131"/>
      <c r="Q57" s="131" t="str">
        <f t="shared" si="2"/>
        <v>⚪</v>
      </c>
      <c r="R57" s="131"/>
      <c r="S57" s="131"/>
      <c r="T57" s="137"/>
      <c r="U57" s="131"/>
      <c r="V57" s="131"/>
      <c r="W57" s="131"/>
      <c r="X57" s="131" t="str">
        <f t="shared" si="3"/>
        <v>⚪</v>
      </c>
      <c r="Y57" s="131"/>
      <c r="Z57" s="131"/>
      <c r="AA57" s="137"/>
    </row>
    <row r="58" ht="15.75" customHeight="1">
      <c r="A58" s="138" t="s">
        <v>867</v>
      </c>
      <c r="B58" s="138" t="s">
        <v>268</v>
      </c>
      <c r="C58" s="138" t="s">
        <v>480</v>
      </c>
      <c r="D58" s="138" t="s">
        <v>33</v>
      </c>
      <c r="E58" s="138" t="s">
        <v>414</v>
      </c>
      <c r="F58" s="138" t="s">
        <v>162</v>
      </c>
      <c r="G58" s="138"/>
      <c r="H58" s="138"/>
      <c r="I58" s="138"/>
      <c r="J58" s="138" t="str">
        <f t="shared" si="1"/>
        <v>⚪</v>
      </c>
      <c r="K58" s="138"/>
      <c r="L58" s="138"/>
      <c r="M58" s="139"/>
      <c r="N58" s="138"/>
      <c r="O58" s="138"/>
      <c r="P58" s="138"/>
      <c r="Q58" s="138" t="str">
        <f t="shared" si="2"/>
        <v>⚪</v>
      </c>
      <c r="R58" s="138"/>
      <c r="S58" s="138"/>
      <c r="T58" s="139"/>
      <c r="U58" s="138"/>
      <c r="V58" s="138"/>
      <c r="W58" s="138"/>
      <c r="X58" s="138" t="str">
        <f t="shared" si="3"/>
        <v>⚪</v>
      </c>
      <c r="Y58" s="138"/>
      <c r="Z58" s="138"/>
      <c r="AA58" s="139"/>
    </row>
    <row r="59" ht="15.75" customHeight="1">
      <c r="A59" s="131" t="s">
        <v>869</v>
      </c>
      <c r="B59" s="131" t="s">
        <v>268</v>
      </c>
      <c r="C59" s="131" t="s">
        <v>487</v>
      </c>
      <c r="D59" s="131" t="s">
        <v>33</v>
      </c>
      <c r="E59" s="131" t="s">
        <v>310</v>
      </c>
      <c r="F59" s="131" t="s">
        <v>162</v>
      </c>
      <c r="G59" s="131"/>
      <c r="H59" s="131"/>
      <c r="I59" s="131"/>
      <c r="J59" s="131" t="str">
        <f t="shared" si="1"/>
        <v>⚪</v>
      </c>
      <c r="K59" s="131"/>
      <c r="L59" s="131"/>
      <c r="M59" s="137"/>
      <c r="N59" s="131"/>
      <c r="O59" s="131"/>
      <c r="P59" s="131"/>
      <c r="Q59" s="131" t="str">
        <f t="shared" si="2"/>
        <v>⚪</v>
      </c>
      <c r="R59" s="131"/>
      <c r="S59" s="131"/>
      <c r="T59" s="137"/>
      <c r="U59" s="131"/>
      <c r="V59" s="131"/>
      <c r="W59" s="131"/>
      <c r="X59" s="131" t="str">
        <f t="shared" si="3"/>
        <v>⚪</v>
      </c>
      <c r="Y59" s="131"/>
      <c r="Z59" s="131"/>
      <c r="AA59" s="137"/>
    </row>
    <row r="60" ht="15.75" customHeight="1">
      <c r="A60" s="138" t="s">
        <v>872</v>
      </c>
      <c r="B60" s="138" t="s">
        <v>295</v>
      </c>
      <c r="C60" s="138" t="s">
        <v>493</v>
      </c>
      <c r="D60" s="138" t="s">
        <v>33</v>
      </c>
      <c r="E60" s="138" t="s">
        <v>494</v>
      </c>
      <c r="F60" s="138" t="s">
        <v>162</v>
      </c>
      <c r="G60" s="138"/>
      <c r="H60" s="138"/>
      <c r="I60" s="138"/>
      <c r="J60" s="138" t="str">
        <f t="shared" si="1"/>
        <v>⚪</v>
      </c>
      <c r="K60" s="138"/>
      <c r="L60" s="138"/>
      <c r="M60" s="139"/>
      <c r="N60" s="138"/>
      <c r="O60" s="138"/>
      <c r="P60" s="138"/>
      <c r="Q60" s="138" t="str">
        <f t="shared" si="2"/>
        <v>⚪</v>
      </c>
      <c r="R60" s="138"/>
      <c r="S60" s="138"/>
      <c r="T60" s="139"/>
      <c r="U60" s="138"/>
      <c r="V60" s="138"/>
      <c r="W60" s="138"/>
      <c r="X60" s="138" t="str">
        <f t="shared" si="3"/>
        <v>⚪</v>
      </c>
      <c r="Y60" s="138"/>
      <c r="Z60" s="138"/>
      <c r="AA60" s="139"/>
    </row>
    <row r="61" ht="15.75" customHeight="1">
      <c r="A61" s="131" t="s">
        <v>876</v>
      </c>
      <c r="B61" s="131" t="s">
        <v>295</v>
      </c>
      <c r="C61" s="131" t="s">
        <v>500</v>
      </c>
      <c r="D61" s="131" t="s">
        <v>33</v>
      </c>
      <c r="E61" s="131" t="s">
        <v>494</v>
      </c>
      <c r="F61" s="131" t="s">
        <v>162</v>
      </c>
      <c r="G61" s="131"/>
      <c r="H61" s="131"/>
      <c r="I61" s="131"/>
      <c r="J61" s="131" t="str">
        <f t="shared" si="1"/>
        <v>⚪</v>
      </c>
      <c r="K61" s="131"/>
      <c r="L61" s="131"/>
      <c r="M61" s="137"/>
      <c r="N61" s="131"/>
      <c r="O61" s="131"/>
      <c r="P61" s="131"/>
      <c r="Q61" s="131" t="str">
        <f t="shared" si="2"/>
        <v>⚪</v>
      </c>
      <c r="R61" s="131"/>
      <c r="S61" s="131"/>
      <c r="T61" s="137"/>
      <c r="U61" s="131"/>
      <c r="V61" s="131"/>
      <c r="W61" s="131"/>
      <c r="X61" s="131" t="str">
        <f t="shared" si="3"/>
        <v>⚪</v>
      </c>
      <c r="Y61" s="131"/>
      <c r="Z61" s="131"/>
      <c r="AA61" s="137"/>
    </row>
    <row r="62" ht="15.75" customHeight="1">
      <c r="A62" s="138" t="s">
        <v>878</v>
      </c>
      <c r="B62" s="138" t="s">
        <v>295</v>
      </c>
      <c r="C62" s="138" t="s">
        <v>504</v>
      </c>
      <c r="D62" s="138" t="s">
        <v>33</v>
      </c>
      <c r="E62" s="138" t="s">
        <v>494</v>
      </c>
      <c r="F62" s="138" t="s">
        <v>162</v>
      </c>
      <c r="G62" s="138"/>
      <c r="H62" s="138"/>
      <c r="I62" s="138"/>
      <c r="J62" s="138" t="str">
        <f t="shared" si="1"/>
        <v>⚪</v>
      </c>
      <c r="K62" s="138"/>
      <c r="L62" s="138"/>
      <c r="M62" s="139"/>
      <c r="N62" s="138"/>
      <c r="O62" s="138"/>
      <c r="P62" s="138"/>
      <c r="Q62" s="138" t="str">
        <f t="shared" si="2"/>
        <v>⚪</v>
      </c>
      <c r="R62" s="138"/>
      <c r="S62" s="138"/>
      <c r="T62" s="139"/>
      <c r="U62" s="138"/>
      <c r="V62" s="138"/>
      <c r="W62" s="138"/>
      <c r="X62" s="138" t="str">
        <f t="shared" si="3"/>
        <v>⚪</v>
      </c>
      <c r="Y62" s="138"/>
      <c r="Z62" s="138"/>
      <c r="AA62" s="139"/>
    </row>
    <row r="63" ht="15.75" customHeight="1">
      <c r="A63" s="131" t="s">
        <v>883</v>
      </c>
      <c r="B63" s="131" t="s">
        <v>295</v>
      </c>
      <c r="C63" s="131" t="s">
        <v>510</v>
      </c>
      <c r="D63" s="131" t="s">
        <v>33</v>
      </c>
      <c r="E63" s="131" t="s">
        <v>494</v>
      </c>
      <c r="F63" s="131" t="s">
        <v>162</v>
      </c>
      <c r="G63" s="131"/>
      <c r="H63" s="131"/>
      <c r="I63" s="131"/>
      <c r="J63" s="131" t="str">
        <f t="shared" si="1"/>
        <v>⚪</v>
      </c>
      <c r="K63" s="131"/>
      <c r="L63" s="131"/>
      <c r="M63" s="137"/>
      <c r="N63" s="131"/>
      <c r="O63" s="131"/>
      <c r="P63" s="131"/>
      <c r="Q63" s="131" t="str">
        <f t="shared" si="2"/>
        <v>⚪</v>
      </c>
      <c r="R63" s="131"/>
      <c r="S63" s="131"/>
      <c r="T63" s="137"/>
      <c r="U63" s="131"/>
      <c r="V63" s="131"/>
      <c r="W63" s="131"/>
      <c r="X63" s="131" t="str">
        <f t="shared" si="3"/>
        <v>⚪</v>
      </c>
      <c r="Y63" s="131"/>
      <c r="Z63" s="131"/>
      <c r="AA63" s="137"/>
    </row>
    <row r="64" ht="15.75" customHeight="1">
      <c r="A64" s="138" t="s">
        <v>889</v>
      </c>
      <c r="B64" s="138" t="s">
        <v>295</v>
      </c>
      <c r="C64" s="138" t="s">
        <v>514</v>
      </c>
      <c r="D64" s="138" t="s">
        <v>33</v>
      </c>
      <c r="E64" s="138" t="s">
        <v>515</v>
      </c>
      <c r="F64" s="138" t="s">
        <v>232</v>
      </c>
      <c r="G64" s="138"/>
      <c r="H64" s="138"/>
      <c r="I64" s="138"/>
      <c r="J64" s="138" t="str">
        <f t="shared" si="1"/>
        <v>⚪</v>
      </c>
      <c r="K64" s="138"/>
      <c r="L64" s="138"/>
      <c r="M64" s="139"/>
      <c r="N64" s="138"/>
      <c r="O64" s="138"/>
      <c r="P64" s="138"/>
      <c r="Q64" s="138" t="str">
        <f t="shared" si="2"/>
        <v>⚪</v>
      </c>
      <c r="R64" s="138"/>
      <c r="S64" s="138"/>
      <c r="T64" s="139"/>
      <c r="U64" s="138"/>
      <c r="V64" s="138"/>
      <c r="W64" s="138"/>
      <c r="X64" s="138" t="str">
        <f t="shared" si="3"/>
        <v>⚪</v>
      </c>
      <c r="Y64" s="138"/>
      <c r="Z64" s="138"/>
      <c r="AA64" s="139"/>
    </row>
    <row r="65" ht="15.75" customHeight="1">
      <c r="A65" s="131" t="s">
        <v>891</v>
      </c>
      <c r="B65" s="131" t="s">
        <v>295</v>
      </c>
      <c r="C65" s="131" t="s">
        <v>528</v>
      </c>
      <c r="D65" s="131" t="s">
        <v>33</v>
      </c>
      <c r="E65" s="131" t="s">
        <v>530</v>
      </c>
      <c r="F65" s="131" t="s">
        <v>232</v>
      </c>
      <c r="G65" s="131"/>
      <c r="H65" s="131"/>
      <c r="I65" s="131"/>
      <c r="J65" s="131" t="str">
        <f t="shared" si="1"/>
        <v>⚪</v>
      </c>
      <c r="K65" s="131"/>
      <c r="L65" s="131"/>
      <c r="M65" s="137"/>
      <c r="N65" s="131"/>
      <c r="O65" s="131"/>
      <c r="P65" s="131"/>
      <c r="Q65" s="131" t="str">
        <f t="shared" si="2"/>
        <v>⚪</v>
      </c>
      <c r="R65" s="131"/>
      <c r="S65" s="131"/>
      <c r="T65" s="137"/>
      <c r="U65" s="131"/>
      <c r="V65" s="131"/>
      <c r="W65" s="131"/>
      <c r="X65" s="131" t="str">
        <f t="shared" si="3"/>
        <v>⚪</v>
      </c>
      <c r="Y65" s="131"/>
      <c r="Z65" s="131"/>
      <c r="AA65" s="137"/>
    </row>
    <row r="66" ht="15.75" customHeight="1">
      <c r="A66" s="138" t="s">
        <v>894</v>
      </c>
      <c r="B66" s="138" t="s">
        <v>295</v>
      </c>
      <c r="C66" s="138" t="s">
        <v>531</v>
      </c>
      <c r="D66" s="138" t="s">
        <v>33</v>
      </c>
      <c r="E66" s="138" t="s">
        <v>534</v>
      </c>
      <c r="F66" s="138" t="s">
        <v>232</v>
      </c>
      <c r="G66" s="138"/>
      <c r="H66" s="138"/>
      <c r="I66" s="138"/>
      <c r="J66" s="138" t="str">
        <f t="shared" si="1"/>
        <v>⚪</v>
      </c>
      <c r="K66" s="138"/>
      <c r="L66" s="138"/>
      <c r="M66" s="139"/>
      <c r="N66" s="138"/>
      <c r="O66" s="138"/>
      <c r="P66" s="138"/>
      <c r="Q66" s="138" t="str">
        <f t="shared" si="2"/>
        <v>⚪</v>
      </c>
      <c r="R66" s="138"/>
      <c r="S66" s="138"/>
      <c r="T66" s="139"/>
      <c r="U66" s="138"/>
      <c r="V66" s="138"/>
      <c r="W66" s="138"/>
      <c r="X66" s="138" t="str">
        <f t="shared" si="3"/>
        <v>⚪</v>
      </c>
      <c r="Y66" s="138"/>
      <c r="Z66" s="138"/>
      <c r="AA66" s="139"/>
    </row>
    <row r="67" ht="15.75" customHeight="1">
      <c r="A67" s="131" t="s">
        <v>897</v>
      </c>
      <c r="B67" s="131" t="s">
        <v>295</v>
      </c>
      <c r="C67" s="131" t="s">
        <v>546</v>
      </c>
      <c r="D67" s="131" t="s">
        <v>33</v>
      </c>
      <c r="E67" s="131" t="s">
        <v>173</v>
      </c>
      <c r="F67" s="131" t="s">
        <v>162</v>
      </c>
      <c r="G67" s="131"/>
      <c r="H67" s="131"/>
      <c r="I67" s="131"/>
      <c r="J67" s="131" t="str">
        <f t="shared" si="1"/>
        <v>⚪</v>
      </c>
      <c r="K67" s="131"/>
      <c r="L67" s="131"/>
      <c r="M67" s="137"/>
      <c r="N67" s="131"/>
      <c r="O67" s="131"/>
      <c r="P67" s="131"/>
      <c r="Q67" s="131" t="str">
        <f t="shared" si="2"/>
        <v>⚪</v>
      </c>
      <c r="R67" s="131"/>
      <c r="S67" s="131"/>
      <c r="T67" s="137"/>
      <c r="U67" s="131"/>
      <c r="V67" s="131"/>
      <c r="W67" s="131"/>
      <c r="X67" s="131" t="str">
        <f t="shared" si="3"/>
        <v>⚪</v>
      </c>
      <c r="Y67" s="131"/>
      <c r="Z67" s="131"/>
      <c r="AA67" s="137"/>
    </row>
    <row r="68" ht="15.75" customHeight="1">
      <c r="A68" s="138" t="s">
        <v>903</v>
      </c>
      <c r="B68" s="138" t="s">
        <v>295</v>
      </c>
      <c r="C68" s="138" t="s">
        <v>557</v>
      </c>
      <c r="D68" s="138" t="s">
        <v>33</v>
      </c>
      <c r="E68" s="138" t="s">
        <v>160</v>
      </c>
      <c r="F68" s="138" t="s">
        <v>162</v>
      </c>
      <c r="G68" s="138"/>
      <c r="H68" s="138"/>
      <c r="I68" s="138"/>
      <c r="J68" s="138" t="str">
        <f t="shared" si="1"/>
        <v>⚪</v>
      </c>
      <c r="K68" s="138"/>
      <c r="L68" s="138"/>
      <c r="M68" s="139"/>
      <c r="N68" s="138"/>
      <c r="O68" s="138"/>
      <c r="P68" s="138"/>
      <c r="Q68" s="138" t="str">
        <f t="shared" si="2"/>
        <v>⚪</v>
      </c>
      <c r="R68" s="138"/>
      <c r="S68" s="138"/>
      <c r="T68" s="139"/>
      <c r="U68" s="138"/>
      <c r="V68" s="138"/>
      <c r="W68" s="138"/>
      <c r="X68" s="138" t="str">
        <f t="shared" si="3"/>
        <v>⚪</v>
      </c>
      <c r="Y68" s="138"/>
      <c r="Z68" s="138"/>
      <c r="AA68" s="139"/>
    </row>
    <row r="69" ht="15.75" customHeight="1">
      <c r="F69" s="34"/>
      <c r="I69" s="34"/>
      <c r="J69" s="34"/>
      <c r="Q69" s="34"/>
    </row>
    <row r="70" ht="15.75" customHeight="1">
      <c r="F70" s="34"/>
      <c r="I70" s="34"/>
      <c r="J70" s="34"/>
      <c r="Q70" s="34"/>
    </row>
    <row r="71" ht="15.75" customHeight="1">
      <c r="F71" s="34"/>
      <c r="I71" s="34"/>
      <c r="J71" s="34"/>
      <c r="Q71" s="34"/>
    </row>
    <row r="72" ht="15.75" customHeight="1">
      <c r="F72" s="34"/>
      <c r="I72" s="34"/>
      <c r="J72" s="34"/>
      <c r="Q72" s="34"/>
    </row>
    <row r="73" ht="15.75" customHeight="1">
      <c r="F73" s="34"/>
      <c r="I73" s="34"/>
      <c r="J73" s="34"/>
      <c r="Q73" s="34"/>
    </row>
    <row r="74" ht="15.75" customHeight="1">
      <c r="F74" s="34"/>
      <c r="I74" s="34"/>
      <c r="J74" s="34"/>
      <c r="Q74" s="34"/>
    </row>
    <row r="75" ht="15.75" customHeight="1">
      <c r="F75" s="34"/>
      <c r="I75" s="34"/>
      <c r="J75" s="34"/>
      <c r="Q75" s="34"/>
    </row>
    <row r="76" ht="15.75" customHeight="1">
      <c r="B76" s="190" t="s">
        <v>907</v>
      </c>
      <c r="F76" s="34"/>
      <c r="I76" s="34"/>
      <c r="J76" s="34"/>
      <c r="Q76" s="34"/>
    </row>
    <row r="77" ht="15.75" customHeight="1">
      <c r="B77" s="191"/>
      <c r="F77" s="34"/>
      <c r="I77" s="34"/>
      <c r="J77" s="34"/>
      <c r="Q77" s="34"/>
    </row>
    <row r="78" ht="15.75" customHeight="1">
      <c r="B78" s="190" t="s">
        <v>908</v>
      </c>
      <c r="F78" s="34"/>
      <c r="I78" s="34"/>
      <c r="J78" s="34"/>
      <c r="Q78" s="34"/>
    </row>
    <row r="79" ht="15.75" customHeight="1">
      <c r="B79" s="191"/>
      <c r="F79" s="34"/>
      <c r="I79" s="34"/>
      <c r="J79" s="34"/>
      <c r="Q79" s="34"/>
    </row>
    <row r="80" ht="15.75" customHeight="1">
      <c r="B80" s="190" t="s">
        <v>909</v>
      </c>
      <c r="F80" s="34"/>
      <c r="I80" s="34"/>
      <c r="J80" s="34"/>
      <c r="Q80" s="34"/>
    </row>
    <row r="81" ht="15.75" customHeight="1">
      <c r="B81" s="191"/>
      <c r="F81" s="34"/>
      <c r="I81" s="34"/>
      <c r="J81" s="34"/>
      <c r="Q81" s="34"/>
    </row>
    <row r="82" ht="15.75" customHeight="1">
      <c r="B82" s="190" t="s">
        <v>910</v>
      </c>
      <c r="F82" s="34"/>
      <c r="I82" s="7" t="s">
        <v>39</v>
      </c>
      <c r="Q82" s="34"/>
    </row>
    <row r="83" ht="15.75" customHeight="1">
      <c r="B83" s="190" t="s">
        <v>911</v>
      </c>
      <c r="F83" s="34"/>
      <c r="Q83" s="34"/>
    </row>
    <row r="84" ht="15.75" customHeight="1">
      <c r="B84" s="190" t="s">
        <v>912</v>
      </c>
      <c r="F84" s="34"/>
      <c r="I84" s="12" t="s">
        <v>5</v>
      </c>
      <c r="J84" s="12" t="s">
        <v>43</v>
      </c>
      <c r="K84" s="12" t="s">
        <v>45</v>
      </c>
      <c r="Q84" s="34"/>
    </row>
    <row r="85" ht="15.75" customHeight="1">
      <c r="B85" s="191"/>
      <c r="F85" s="34"/>
      <c r="I85" s="13" t="s">
        <v>14</v>
      </c>
      <c r="J85" s="13" t="s">
        <v>50</v>
      </c>
      <c r="K85" s="13" t="s">
        <v>52</v>
      </c>
      <c r="Q85" s="34"/>
    </row>
    <row r="86" ht="15.75" customHeight="1">
      <c r="B86" s="190" t="s">
        <v>913</v>
      </c>
      <c r="F86" s="34"/>
      <c r="I86" s="13" t="s">
        <v>24</v>
      </c>
      <c r="J86" s="13" t="s">
        <v>54</v>
      </c>
      <c r="K86" s="13" t="s">
        <v>55</v>
      </c>
      <c r="Q86" s="34"/>
    </row>
    <row r="87" ht="15.75" customHeight="1">
      <c r="B87" s="191"/>
      <c r="F87" s="34"/>
      <c r="I87" s="13" t="s">
        <v>33</v>
      </c>
      <c r="J87" s="13" t="s">
        <v>56</v>
      </c>
      <c r="K87" s="13" t="s">
        <v>57</v>
      </c>
      <c r="Q87" s="34"/>
    </row>
    <row r="88" ht="15.75" customHeight="1">
      <c r="B88" s="190" t="s">
        <v>914</v>
      </c>
      <c r="F88" s="34"/>
      <c r="I88" s="34"/>
      <c r="J88" s="34"/>
      <c r="Q88" s="34"/>
    </row>
    <row r="89" ht="15.75" customHeight="1">
      <c r="B89" s="190" t="s">
        <v>915</v>
      </c>
      <c r="F89" s="34"/>
      <c r="I89" s="34"/>
      <c r="J89" s="34"/>
      <c r="Q89" s="34"/>
    </row>
    <row r="90" ht="15.75" customHeight="1">
      <c r="B90" s="190" t="s">
        <v>916</v>
      </c>
      <c r="F90" s="34"/>
      <c r="I90" s="34"/>
      <c r="J90" s="34"/>
      <c r="Q90" s="34"/>
    </row>
    <row r="91" ht="15.75" customHeight="1">
      <c r="B91" s="191"/>
      <c r="F91" s="34"/>
      <c r="I91" s="34"/>
      <c r="J91" s="34"/>
      <c r="Q91" s="34"/>
    </row>
    <row r="92" ht="15.75" customHeight="1">
      <c r="B92" s="190" t="s">
        <v>917</v>
      </c>
      <c r="F92" s="34"/>
      <c r="I92" s="34"/>
      <c r="J92" s="34"/>
      <c r="Q92" s="34"/>
    </row>
    <row r="93" ht="15.75" customHeight="1">
      <c r="B93" s="191"/>
      <c r="F93" s="34"/>
      <c r="I93" s="34"/>
      <c r="J93" s="34"/>
      <c r="Q93" s="34"/>
    </row>
    <row r="94" ht="15.75" customHeight="1">
      <c r="B94" s="190" t="s">
        <v>918</v>
      </c>
      <c r="F94" s="34"/>
      <c r="I94" s="34"/>
      <c r="J94" s="34"/>
      <c r="Q94" s="34"/>
    </row>
    <row r="95" ht="15.75" customHeight="1">
      <c r="B95" s="191"/>
      <c r="F95" s="34"/>
      <c r="I95" s="34"/>
      <c r="J95" s="34"/>
      <c r="Q95" s="34"/>
    </row>
    <row r="96" ht="15.75" customHeight="1">
      <c r="B96" s="190" t="s">
        <v>10</v>
      </c>
      <c r="F96" s="34"/>
      <c r="I96" s="34"/>
      <c r="J96" s="34"/>
      <c r="Q96" s="34"/>
    </row>
    <row r="97" ht="15.75" customHeight="1">
      <c r="B97" s="190" t="s">
        <v>18</v>
      </c>
      <c r="F97" s="34"/>
      <c r="I97" s="34"/>
      <c r="J97" s="34"/>
      <c r="Q97" s="34"/>
    </row>
    <row r="98" ht="15.75" customHeight="1">
      <c r="B98" s="190" t="s">
        <v>28</v>
      </c>
      <c r="F98" s="34"/>
      <c r="I98" s="34"/>
      <c r="J98" s="34"/>
      <c r="Q98" s="34"/>
    </row>
    <row r="99" ht="15.75" customHeight="1">
      <c r="B99" s="190" t="s">
        <v>36</v>
      </c>
      <c r="F99" s="34"/>
      <c r="I99" s="34"/>
      <c r="J99" s="34"/>
      <c r="Q99" s="34"/>
    </row>
    <row r="100" ht="15.75" customHeight="1">
      <c r="B100" s="190" t="s">
        <v>919</v>
      </c>
      <c r="F100" s="34"/>
      <c r="I100" s="34"/>
      <c r="J100" s="34"/>
      <c r="Q100" s="34"/>
    </row>
    <row r="101" ht="15.75" customHeight="1">
      <c r="B101" s="190" t="s">
        <v>920</v>
      </c>
      <c r="F101" s="34"/>
      <c r="I101" s="34"/>
      <c r="J101" s="34"/>
      <c r="Q101" s="34"/>
    </row>
    <row r="102" ht="15.75" customHeight="1">
      <c r="B102" s="191"/>
      <c r="F102" s="34"/>
      <c r="I102" s="34"/>
      <c r="J102" s="34"/>
      <c r="Q102" s="34"/>
    </row>
    <row r="103" ht="15.75" customHeight="1">
      <c r="B103" s="190" t="s">
        <v>909</v>
      </c>
      <c r="F103" s="34"/>
      <c r="I103" s="34"/>
      <c r="J103" s="34"/>
      <c r="Q103" s="34"/>
    </row>
    <row r="104" ht="15.75" customHeight="1">
      <c r="B104" s="191"/>
      <c r="F104" s="34"/>
      <c r="I104" s="34"/>
      <c r="J104" s="34"/>
      <c r="Q104" s="34"/>
    </row>
    <row r="105" ht="15.75" customHeight="1">
      <c r="B105" s="190" t="s">
        <v>921</v>
      </c>
      <c r="F105" s="34"/>
      <c r="I105" s="34"/>
      <c r="J105" s="34"/>
      <c r="Q105" s="34"/>
    </row>
    <row r="106" ht="15.75" customHeight="1">
      <c r="B106" s="190" t="s">
        <v>922</v>
      </c>
      <c r="F106" s="34"/>
      <c r="I106" s="34"/>
      <c r="J106" s="34"/>
      <c r="Q106" s="34"/>
    </row>
    <row r="107" ht="15.75" customHeight="1">
      <c r="B107" s="190" t="s">
        <v>923</v>
      </c>
      <c r="F107" s="34"/>
      <c r="I107" s="34"/>
      <c r="J107" s="34"/>
      <c r="Q107" s="34"/>
    </row>
    <row r="108" ht="15.75" customHeight="1">
      <c r="B108" s="190" t="s">
        <v>924</v>
      </c>
      <c r="F108" s="34"/>
      <c r="I108" s="34"/>
      <c r="J108" s="34"/>
      <c r="Q108" s="34"/>
    </row>
    <row r="109" ht="15.75" customHeight="1">
      <c r="B109" s="191"/>
      <c r="F109" s="34"/>
      <c r="I109" s="34"/>
      <c r="J109" s="34"/>
      <c r="Q109" s="34"/>
    </row>
    <row r="110" ht="15.75" customHeight="1">
      <c r="B110" s="190" t="s">
        <v>925</v>
      </c>
      <c r="F110" s="34"/>
      <c r="I110" s="34"/>
      <c r="J110" s="34"/>
      <c r="Q110" s="34"/>
    </row>
    <row r="111" ht="15.75" customHeight="1">
      <c r="B111" s="191"/>
      <c r="F111" s="34"/>
      <c r="I111" s="34"/>
      <c r="J111" s="34"/>
      <c r="Q111" s="34"/>
    </row>
    <row r="112" ht="15.75" customHeight="1">
      <c r="B112" s="190" t="s">
        <v>926</v>
      </c>
      <c r="F112" s="34"/>
      <c r="I112" s="34"/>
      <c r="J112" s="34"/>
      <c r="Q112" s="34"/>
    </row>
    <row r="113" ht="15.75" customHeight="1">
      <c r="B113" s="191"/>
      <c r="F113" s="34"/>
      <c r="I113" s="34"/>
      <c r="J113" s="34"/>
      <c r="Q113" s="34"/>
    </row>
    <row r="114" ht="15.75" customHeight="1">
      <c r="B114" s="190" t="s">
        <v>8</v>
      </c>
      <c r="F114" s="34"/>
      <c r="I114" s="34"/>
      <c r="J114" s="34"/>
      <c r="Q114" s="34"/>
    </row>
    <row r="115" ht="15.75" customHeight="1">
      <c r="B115" s="190" t="s">
        <v>927</v>
      </c>
      <c r="F115" s="34"/>
      <c r="I115" s="34"/>
      <c r="J115" s="34"/>
      <c r="Q115" s="34"/>
    </row>
    <row r="116" ht="15.75" customHeight="1">
      <c r="B116" s="190" t="s">
        <v>27</v>
      </c>
      <c r="F116" s="34"/>
      <c r="I116" s="34"/>
      <c r="J116" s="34"/>
      <c r="Q116" s="34"/>
    </row>
    <row r="117" ht="15.75" customHeight="1">
      <c r="B117" s="190" t="s">
        <v>928</v>
      </c>
      <c r="F117" s="34"/>
      <c r="I117" s="34"/>
      <c r="J117" s="34"/>
      <c r="Q117" s="34"/>
    </row>
    <row r="118" ht="15.75" customHeight="1">
      <c r="B118" s="190" t="s">
        <v>929</v>
      </c>
      <c r="F118" s="34"/>
      <c r="I118" s="34"/>
      <c r="J118" s="34"/>
      <c r="Q118" s="34"/>
    </row>
    <row r="119" ht="15.75" customHeight="1">
      <c r="B119" s="191"/>
      <c r="F119" s="34"/>
      <c r="I119" s="34"/>
      <c r="J119" s="34"/>
      <c r="Q119" s="34"/>
    </row>
    <row r="120" ht="15.75" customHeight="1">
      <c r="B120" s="190" t="s">
        <v>909</v>
      </c>
      <c r="F120" s="34"/>
      <c r="I120" s="34"/>
      <c r="J120" s="34"/>
      <c r="Q120" s="34"/>
    </row>
    <row r="121" ht="15.75" customHeight="1">
      <c r="B121" s="191"/>
      <c r="F121" s="34"/>
      <c r="I121" s="34"/>
      <c r="J121" s="34"/>
      <c r="Q121" s="34"/>
    </row>
    <row r="122" ht="15.75" customHeight="1">
      <c r="B122" s="190" t="s">
        <v>8</v>
      </c>
      <c r="F122" s="34"/>
      <c r="I122" s="34"/>
      <c r="J122" s="34"/>
      <c r="Q122" s="34"/>
    </row>
    <row r="123" ht="15.75" customHeight="1">
      <c r="B123" s="190" t="s">
        <v>927</v>
      </c>
      <c r="F123" s="34"/>
      <c r="I123" s="34"/>
      <c r="J123" s="34"/>
      <c r="Q123" s="34"/>
    </row>
    <row r="124" ht="15.75" customHeight="1">
      <c r="B124" s="190" t="s">
        <v>928</v>
      </c>
      <c r="F124" s="34"/>
      <c r="I124" s="34"/>
      <c r="J124" s="34"/>
      <c r="Q124" s="34"/>
    </row>
    <row r="125" ht="15.75" customHeight="1">
      <c r="B125" s="190" t="s">
        <v>930</v>
      </c>
      <c r="F125" s="34"/>
      <c r="I125" s="34"/>
      <c r="J125" s="34"/>
      <c r="Q125" s="34"/>
    </row>
    <row r="126" ht="15.75" customHeight="1">
      <c r="B126" s="191"/>
      <c r="F126" s="34"/>
      <c r="I126" s="34"/>
      <c r="J126" s="34"/>
      <c r="Q126" s="34"/>
    </row>
    <row r="127" ht="15.75" customHeight="1">
      <c r="B127" s="190" t="s">
        <v>931</v>
      </c>
      <c r="F127" s="34"/>
      <c r="I127" s="34"/>
      <c r="J127" s="34"/>
      <c r="Q127" s="34"/>
    </row>
    <row r="128" ht="15.75" customHeight="1">
      <c r="B128" s="191"/>
      <c r="F128" s="34"/>
      <c r="I128" s="34"/>
      <c r="J128" s="34"/>
      <c r="Q128" s="34"/>
    </row>
    <row r="129" ht="15.75" customHeight="1">
      <c r="B129" s="190" t="s">
        <v>932</v>
      </c>
      <c r="F129" s="34"/>
      <c r="I129" s="34"/>
      <c r="J129" s="34"/>
      <c r="Q129" s="34"/>
    </row>
    <row r="130" ht="15.75" customHeight="1">
      <c r="B130" s="191"/>
      <c r="F130" s="34"/>
      <c r="I130" s="34"/>
      <c r="J130" s="34"/>
      <c r="Q130" s="34"/>
    </row>
    <row r="131" ht="15.75" customHeight="1">
      <c r="B131" s="190" t="s">
        <v>933</v>
      </c>
      <c r="F131" s="34"/>
      <c r="I131" s="34"/>
      <c r="J131" s="34"/>
      <c r="Q131" s="34"/>
    </row>
    <row r="132" ht="15.75" customHeight="1">
      <c r="B132" s="190" t="s">
        <v>934</v>
      </c>
      <c r="F132" s="34"/>
      <c r="I132" s="34"/>
      <c r="J132" s="34"/>
      <c r="Q132" s="34"/>
    </row>
    <row r="133" ht="15.75" customHeight="1">
      <c r="B133" s="190" t="s">
        <v>935</v>
      </c>
      <c r="F133" s="34"/>
      <c r="I133" s="34"/>
      <c r="J133" s="34"/>
      <c r="Q133" s="34"/>
    </row>
    <row r="134" ht="15.75" customHeight="1">
      <c r="B134" s="190" t="s">
        <v>936</v>
      </c>
      <c r="F134" s="34"/>
      <c r="I134" s="34"/>
      <c r="J134" s="34"/>
      <c r="Q134" s="34"/>
    </row>
    <row r="135" ht="15.75" customHeight="1">
      <c r="B135" s="191"/>
      <c r="F135" s="34"/>
      <c r="I135" s="34"/>
      <c r="J135" s="34"/>
      <c r="Q135" s="34"/>
    </row>
    <row r="136" ht="15.75" customHeight="1">
      <c r="B136" s="190" t="s">
        <v>909</v>
      </c>
      <c r="F136" s="34"/>
      <c r="I136" s="34"/>
      <c r="J136" s="34"/>
      <c r="Q136" s="34"/>
    </row>
    <row r="137" ht="15.75" customHeight="1">
      <c r="B137" s="191"/>
      <c r="F137" s="34"/>
      <c r="I137" s="34"/>
      <c r="J137" s="34"/>
      <c r="Q137" s="34"/>
    </row>
    <row r="138" ht="15.75" customHeight="1">
      <c r="B138" s="190" t="s">
        <v>937</v>
      </c>
      <c r="F138" s="34"/>
      <c r="I138" s="34"/>
      <c r="J138" s="34"/>
      <c r="Q138" s="34"/>
    </row>
    <row r="139" ht="15.75" customHeight="1">
      <c r="B139" s="190" t="s">
        <v>938</v>
      </c>
      <c r="F139" s="34"/>
      <c r="I139" s="34"/>
      <c r="J139" s="34"/>
      <c r="Q139" s="34"/>
    </row>
    <row r="140" ht="15.75" customHeight="1">
      <c r="B140" s="190" t="s">
        <v>939</v>
      </c>
      <c r="F140" s="34"/>
      <c r="I140" s="34"/>
      <c r="J140" s="34"/>
      <c r="Q140" s="34"/>
    </row>
    <row r="141" ht="15.75" customHeight="1">
      <c r="B141" s="190" t="s">
        <v>940</v>
      </c>
      <c r="F141" s="34"/>
      <c r="I141" s="34"/>
      <c r="J141" s="34"/>
      <c r="Q141" s="34"/>
    </row>
    <row r="142" ht="15.75" customHeight="1">
      <c r="B142" s="190" t="s">
        <v>941</v>
      </c>
      <c r="F142" s="34"/>
      <c r="I142" s="34"/>
      <c r="J142" s="34"/>
      <c r="Q142" s="34"/>
    </row>
    <row r="143" ht="15.75" customHeight="1">
      <c r="B143" s="191"/>
      <c r="F143" s="34"/>
      <c r="I143" s="34"/>
      <c r="J143" s="34"/>
      <c r="Q143" s="34"/>
    </row>
    <row r="144" ht="15.75" customHeight="1">
      <c r="B144" s="190" t="s">
        <v>942</v>
      </c>
      <c r="F144" s="34"/>
      <c r="I144" s="34"/>
      <c r="J144" s="34"/>
      <c r="Q144" s="34"/>
    </row>
    <row r="145" ht="15.75" customHeight="1">
      <c r="B145" s="191"/>
      <c r="F145" s="34"/>
      <c r="I145" s="34"/>
      <c r="J145" s="34"/>
      <c r="Q145" s="34"/>
    </row>
    <row r="146" ht="15.75" customHeight="1">
      <c r="B146" s="190" t="s">
        <v>943</v>
      </c>
      <c r="F146" s="34"/>
      <c r="I146" s="34"/>
      <c r="J146" s="34"/>
      <c r="Q146" s="34"/>
    </row>
    <row r="147" ht="15.75" customHeight="1">
      <c r="B147" s="191"/>
      <c r="F147" s="34"/>
      <c r="I147" s="34"/>
      <c r="J147" s="34"/>
      <c r="Q147" s="34"/>
    </row>
    <row r="148" ht="15.75" customHeight="1">
      <c r="B148" s="190" t="s">
        <v>944</v>
      </c>
      <c r="F148" s="34"/>
      <c r="I148" s="34"/>
      <c r="J148" s="34"/>
      <c r="Q148" s="34"/>
    </row>
    <row r="149" ht="15.75" customHeight="1">
      <c r="B149" s="191"/>
      <c r="F149" s="34"/>
      <c r="I149" s="34"/>
      <c r="J149" s="34"/>
      <c r="Q149" s="34"/>
    </row>
    <row r="150" ht="15.75" customHeight="1">
      <c r="B150" s="190" t="s">
        <v>945</v>
      </c>
      <c r="F150" s="34"/>
      <c r="I150" s="34"/>
      <c r="J150" s="34"/>
      <c r="Q150" s="34"/>
    </row>
    <row r="151" ht="15.75" customHeight="1">
      <c r="B151" s="191"/>
      <c r="F151" s="34"/>
      <c r="I151" s="34"/>
      <c r="J151" s="34"/>
      <c r="Q151" s="34"/>
    </row>
    <row r="152" ht="15.75" customHeight="1">
      <c r="B152" s="190" t="s">
        <v>946</v>
      </c>
      <c r="F152" s="34"/>
      <c r="I152" s="34"/>
      <c r="J152" s="34"/>
      <c r="Q152" s="34"/>
    </row>
    <row r="153" ht="15.75" customHeight="1">
      <c r="B153" s="190" t="s">
        <v>947</v>
      </c>
      <c r="F153" s="34"/>
      <c r="I153" s="34"/>
      <c r="J153" s="34"/>
      <c r="Q153" s="34"/>
    </row>
    <row r="154" ht="15.75" customHeight="1">
      <c r="B154" s="191"/>
      <c r="F154" s="34"/>
      <c r="I154" s="34"/>
      <c r="J154" s="34"/>
      <c r="Q154" s="34"/>
    </row>
    <row r="155" ht="15.75" customHeight="1">
      <c r="B155" s="190" t="s">
        <v>948</v>
      </c>
      <c r="F155" s="34"/>
      <c r="I155" s="34"/>
      <c r="J155" s="34"/>
      <c r="Q155" s="34"/>
    </row>
    <row r="156" ht="15.75" customHeight="1">
      <c r="B156" s="191"/>
      <c r="F156" s="34"/>
      <c r="I156" s="34"/>
      <c r="J156" s="34"/>
      <c r="Q156" s="34"/>
    </row>
    <row r="157" ht="15.75" customHeight="1">
      <c r="B157" s="190" t="s">
        <v>909</v>
      </c>
      <c r="F157" s="34"/>
      <c r="I157" s="34"/>
      <c r="J157" s="34"/>
      <c r="Q157" s="34"/>
    </row>
    <row r="158" ht="15.75" customHeight="1">
      <c r="B158" s="191"/>
      <c r="F158" s="34"/>
      <c r="I158" s="34"/>
      <c r="J158" s="34"/>
      <c r="Q158" s="34"/>
    </row>
    <row r="159" ht="15.75" customHeight="1">
      <c r="B159" s="190" t="s">
        <v>759</v>
      </c>
      <c r="F159" s="34"/>
      <c r="I159" s="34"/>
      <c r="J159" s="34"/>
      <c r="Q159" s="34"/>
    </row>
    <row r="160" ht="15.75" customHeight="1">
      <c r="B160" s="190" t="s">
        <v>949</v>
      </c>
      <c r="F160" s="34"/>
      <c r="I160" s="34"/>
      <c r="J160" s="34"/>
      <c r="Q160" s="34"/>
    </row>
    <row r="161" ht="15.75" customHeight="1">
      <c r="B161" s="190" t="s">
        <v>950</v>
      </c>
      <c r="F161" s="34"/>
      <c r="I161" s="34"/>
      <c r="J161" s="34"/>
      <c r="Q161" s="34"/>
    </row>
    <row r="162" ht="15.75" customHeight="1">
      <c r="B162" s="190" t="s">
        <v>951</v>
      </c>
      <c r="F162" s="34"/>
      <c r="I162" s="34"/>
      <c r="J162" s="34"/>
      <c r="Q162" s="34"/>
    </row>
    <row r="163" ht="15.75" customHeight="1">
      <c r="B163" s="190" t="s">
        <v>952</v>
      </c>
      <c r="F163" s="34"/>
      <c r="I163" s="34"/>
      <c r="J163" s="34"/>
      <c r="Q163" s="34"/>
    </row>
    <row r="164" ht="15.75" customHeight="1">
      <c r="B164" s="190" t="s">
        <v>953</v>
      </c>
      <c r="F164" s="34"/>
      <c r="I164" s="34"/>
      <c r="J164" s="34"/>
      <c r="Q164" s="34"/>
    </row>
    <row r="165" ht="15.75" customHeight="1">
      <c r="B165" s="191"/>
      <c r="F165" s="34"/>
      <c r="I165" s="34"/>
      <c r="J165" s="34"/>
      <c r="Q165" s="34"/>
    </row>
    <row r="166" ht="15.75" customHeight="1">
      <c r="B166" s="190" t="s">
        <v>954</v>
      </c>
      <c r="F166" s="34"/>
      <c r="I166" s="34"/>
      <c r="J166" s="34"/>
      <c r="Q166" s="34"/>
    </row>
    <row r="167" ht="15.75" customHeight="1">
      <c r="B167" s="191"/>
      <c r="F167" s="34"/>
      <c r="I167" s="34"/>
      <c r="J167" s="34"/>
      <c r="Q167" s="34"/>
    </row>
    <row r="168" ht="15.75" customHeight="1">
      <c r="B168" s="190" t="s">
        <v>955</v>
      </c>
      <c r="F168" s="34"/>
      <c r="I168" s="34"/>
      <c r="J168" s="34"/>
      <c r="Q168" s="34"/>
    </row>
    <row r="169" ht="15.75" customHeight="1">
      <c r="B169" s="191"/>
      <c r="F169" s="34"/>
      <c r="I169" s="34"/>
      <c r="J169" s="34"/>
      <c r="Q169" s="34"/>
    </row>
    <row r="170" ht="15.75" customHeight="1">
      <c r="B170" s="190" t="s">
        <v>909</v>
      </c>
      <c r="F170" s="34"/>
      <c r="I170" s="34"/>
      <c r="J170" s="34"/>
      <c r="Q170" s="34"/>
    </row>
    <row r="171" ht="15.75" customHeight="1">
      <c r="B171" s="191"/>
      <c r="F171" s="34"/>
      <c r="I171" s="34"/>
      <c r="J171" s="34"/>
      <c r="Q171" s="34"/>
    </row>
    <row r="172" ht="15.75" customHeight="1">
      <c r="B172" s="190" t="s">
        <v>956</v>
      </c>
      <c r="F172" s="34"/>
      <c r="I172" s="34"/>
      <c r="J172" s="34"/>
      <c r="Q172" s="34"/>
    </row>
    <row r="173" ht="15.75" customHeight="1">
      <c r="B173" s="190" t="s">
        <v>957</v>
      </c>
      <c r="F173" s="34"/>
      <c r="I173" s="34"/>
      <c r="J173" s="34"/>
      <c r="Q173" s="34"/>
    </row>
    <row r="174" ht="15.75" customHeight="1">
      <c r="B174" s="192" t="s">
        <v>958</v>
      </c>
      <c r="F174" s="34"/>
      <c r="I174" s="34"/>
      <c r="J174" s="34"/>
      <c r="Q174" s="34"/>
    </row>
    <row r="175" ht="15.75" customHeight="1">
      <c r="B175" s="193"/>
      <c r="F175" s="34"/>
      <c r="I175" s="34"/>
      <c r="J175" s="34"/>
      <c r="Q175" s="34"/>
    </row>
    <row r="176" ht="15.75" customHeight="1">
      <c r="B176" s="192" t="s">
        <v>959</v>
      </c>
      <c r="F176" s="34"/>
      <c r="I176" s="34"/>
      <c r="J176" s="34"/>
      <c r="Q176" s="34"/>
    </row>
    <row r="177" ht="15.75" customHeight="1">
      <c r="B177" s="193"/>
      <c r="F177" s="34"/>
      <c r="I177" s="34"/>
      <c r="J177" s="34"/>
      <c r="Q177" s="34"/>
    </row>
    <row r="178" ht="15.75" customHeight="1">
      <c r="B178" s="192" t="s">
        <v>960</v>
      </c>
      <c r="F178" s="34"/>
      <c r="I178" s="34"/>
      <c r="J178" s="34"/>
      <c r="Q178" s="34"/>
    </row>
    <row r="179" ht="15.75" customHeight="1">
      <c r="B179" s="192" t="s">
        <v>961</v>
      </c>
      <c r="F179" s="34"/>
      <c r="I179" s="34"/>
      <c r="J179" s="34"/>
      <c r="Q179" s="34"/>
    </row>
    <row r="180" ht="15.75" customHeight="1">
      <c r="B180" s="192" t="s">
        <v>962</v>
      </c>
      <c r="F180" s="34"/>
      <c r="I180" s="34"/>
      <c r="J180" s="34"/>
      <c r="Q180" s="34"/>
    </row>
    <row r="181" ht="15.75" customHeight="1">
      <c r="F181" s="34"/>
      <c r="I181" s="34"/>
      <c r="J181" s="34"/>
      <c r="Q181" s="34"/>
    </row>
    <row r="182" ht="15.75" customHeight="1">
      <c r="F182" s="34"/>
      <c r="I182" s="34"/>
      <c r="J182" s="34"/>
      <c r="Q182" s="34"/>
    </row>
    <row r="183" ht="15.75" customHeight="1">
      <c r="F183" s="34"/>
      <c r="I183" s="34"/>
      <c r="J183" s="34"/>
      <c r="Q183" s="34"/>
    </row>
    <row r="184" ht="15.75" customHeight="1">
      <c r="F184" s="34"/>
      <c r="I184" s="34"/>
      <c r="J184" s="34"/>
      <c r="Q184" s="34"/>
    </row>
    <row r="185" ht="15.75" customHeight="1">
      <c r="F185" s="34"/>
      <c r="I185" s="34"/>
      <c r="J185" s="34"/>
      <c r="Q185" s="34"/>
    </row>
    <row r="186" ht="15.75" customHeight="1">
      <c r="F186" s="34"/>
      <c r="I186" s="34"/>
      <c r="J186" s="34"/>
      <c r="Q186" s="34"/>
    </row>
  </sheetData>
  <mergeCells count="10">
    <mergeCell ref="G3:M3"/>
    <mergeCell ref="N3:T3"/>
    <mergeCell ref="A1:Z1"/>
    <mergeCell ref="A3:A4"/>
    <mergeCell ref="B3:B4"/>
    <mergeCell ref="C3:C4"/>
    <mergeCell ref="D3:D4"/>
    <mergeCell ref="E3:E4"/>
    <mergeCell ref="F3:F4"/>
    <mergeCell ref="U3:AA3"/>
  </mergeCells>
  <conditionalFormatting sqref="J5:J68 Q13">
    <cfRule type="expression" dxfId="4" priority="1">
      <formula>J5="🟢"</formula>
    </cfRule>
  </conditionalFormatting>
  <conditionalFormatting sqref="J5:J68 Q13">
    <cfRule type="expression" dxfId="5" priority="2">
      <formula>J5="🟡"</formula>
    </cfRule>
  </conditionalFormatting>
  <conditionalFormatting sqref="J5:J68 Q13">
    <cfRule type="expression" dxfId="6" priority="3">
      <formula>J5="🔴"</formula>
    </cfRule>
  </conditionalFormatting>
  <conditionalFormatting sqref="Q5:Q68">
    <cfRule type="expression" dxfId="4" priority="4">
      <formula>Q5="🟢"</formula>
    </cfRule>
  </conditionalFormatting>
  <conditionalFormatting sqref="Q5:Q68">
    <cfRule type="expression" dxfId="5" priority="5">
      <formula>Q5="🟡"</formula>
    </cfRule>
  </conditionalFormatting>
  <conditionalFormatting sqref="Q5:Q68">
    <cfRule type="expression" dxfId="6" priority="6">
      <formula>Q5="🔴"</formula>
    </cfRule>
  </conditionalFormatting>
  <conditionalFormatting sqref="X5:X68">
    <cfRule type="expression" dxfId="4" priority="7">
      <formula>X5="🟢"</formula>
    </cfRule>
  </conditionalFormatting>
  <conditionalFormatting sqref="X5:X68">
    <cfRule type="expression" dxfId="5" priority="8">
      <formula>X5="🟡"</formula>
    </cfRule>
  </conditionalFormatting>
  <conditionalFormatting sqref="X5:X68">
    <cfRule type="expression" dxfId="6" priority="9">
      <formula>X5="🔴"</formula>
    </cfRule>
  </conditionalFormatting>
  <dataValidations>
    <dataValidation type="list" allowBlank="1" showErrorMessage="1" sqref="D5:D68">
      <formula1>"Anual,Mensual,Semestral"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86"/>
    <col customWidth="1" min="2" max="2" width="78.29"/>
    <col customWidth="1" min="3" max="3" width="50.57"/>
  </cols>
  <sheetData>
    <row r="2">
      <c r="A2" s="173" t="s">
        <v>603</v>
      </c>
      <c r="B2" s="174" t="s">
        <v>605</v>
      </c>
      <c r="C2" s="174" t="s">
        <v>607</v>
      </c>
    </row>
    <row r="3">
      <c r="A3" s="175" t="s">
        <v>609</v>
      </c>
      <c r="B3" s="176" t="s">
        <v>612</v>
      </c>
      <c r="C3" s="177" t="s">
        <v>613</v>
      </c>
    </row>
    <row r="4">
      <c r="A4" s="53"/>
      <c r="B4" s="176" t="s">
        <v>622</v>
      </c>
      <c r="C4" s="177" t="s">
        <v>623</v>
      </c>
    </row>
    <row r="5">
      <c r="A5" s="53"/>
      <c r="B5" s="176" t="s">
        <v>629</v>
      </c>
      <c r="C5" s="177" t="s">
        <v>630</v>
      </c>
    </row>
    <row r="6">
      <c r="A6" s="82"/>
      <c r="B6" s="176" t="s">
        <v>637</v>
      </c>
      <c r="C6" s="177" t="s">
        <v>638</v>
      </c>
    </row>
    <row r="7">
      <c r="A7" s="175" t="s">
        <v>642</v>
      </c>
      <c r="B7" s="176" t="s">
        <v>644</v>
      </c>
      <c r="C7" s="177" t="s">
        <v>646</v>
      </c>
    </row>
    <row r="8">
      <c r="A8" s="53"/>
      <c r="B8" s="176" t="s">
        <v>648</v>
      </c>
      <c r="C8" s="177" t="s">
        <v>649</v>
      </c>
    </row>
    <row r="9">
      <c r="A9" s="53"/>
      <c r="B9" s="176" t="s">
        <v>655</v>
      </c>
      <c r="C9" s="177" t="s">
        <v>657</v>
      </c>
    </row>
    <row r="10">
      <c r="A10" s="82"/>
      <c r="B10" s="176" t="s">
        <v>661</v>
      </c>
      <c r="C10" s="177" t="s">
        <v>662</v>
      </c>
    </row>
    <row r="11">
      <c r="A11" s="175" t="s">
        <v>664</v>
      </c>
      <c r="B11" s="176" t="s">
        <v>665</v>
      </c>
      <c r="C11" s="180"/>
    </row>
    <row r="12">
      <c r="A12" s="53"/>
      <c r="B12" s="176" t="s">
        <v>668</v>
      </c>
      <c r="C12" s="180"/>
    </row>
    <row r="13">
      <c r="A13" s="53"/>
      <c r="B13" s="176" t="s">
        <v>671</v>
      </c>
      <c r="C13" s="180"/>
    </row>
    <row r="14">
      <c r="A14" s="82"/>
      <c r="B14" s="176" t="s">
        <v>673</v>
      </c>
      <c r="C14" s="180"/>
    </row>
    <row r="15">
      <c r="A15" s="181" t="s">
        <v>675</v>
      </c>
      <c r="B15" s="182"/>
      <c r="C15" s="182"/>
    </row>
    <row r="16">
      <c r="A16" s="53"/>
      <c r="B16" s="182"/>
      <c r="C16" s="182"/>
    </row>
    <row r="17">
      <c r="A17" s="82"/>
      <c r="B17" s="182"/>
      <c r="C17" s="182"/>
    </row>
  </sheetData>
  <mergeCells count="4">
    <mergeCell ref="A3:A6"/>
    <mergeCell ref="A7:A10"/>
    <mergeCell ref="A11:A14"/>
    <mergeCell ref="A15:A17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</hyperlinks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8.0"/>
    <col customWidth="1" min="3" max="3" width="12.0"/>
    <col customWidth="1" min="4" max="4" width="8.0"/>
    <col customWidth="1" min="5" max="5" width="28.0"/>
    <col customWidth="1" min="6" max="6" width="30.0"/>
    <col customWidth="1" min="7" max="7" width="28.0"/>
    <col customWidth="1" min="8" max="8" width="16.0"/>
    <col customWidth="1" min="9" max="10" width="24.0"/>
    <col customWidth="1" min="11" max="11" width="12.0"/>
    <col customWidth="1" min="12" max="14" width="28.0"/>
    <col customWidth="1" min="15" max="26" width="8.71"/>
  </cols>
  <sheetData>
    <row r="1">
      <c r="A1" s="11" t="s">
        <v>90</v>
      </c>
      <c r="B1" s="11" t="s">
        <v>99</v>
      </c>
      <c r="C1" s="11" t="s">
        <v>681</v>
      </c>
      <c r="D1" s="11" t="s">
        <v>101</v>
      </c>
      <c r="E1" s="11" t="s">
        <v>87</v>
      </c>
      <c r="F1" s="11" t="s">
        <v>682</v>
      </c>
      <c r="G1" s="11" t="s">
        <v>683</v>
      </c>
      <c r="H1" s="11" t="s">
        <v>684</v>
      </c>
      <c r="I1" s="11" t="s">
        <v>685</v>
      </c>
      <c r="J1" s="11" t="s">
        <v>119</v>
      </c>
      <c r="K1" s="11" t="s">
        <v>5</v>
      </c>
      <c r="L1" s="11" t="s">
        <v>686</v>
      </c>
      <c r="M1" s="11" t="s">
        <v>687</v>
      </c>
      <c r="N1" s="11" t="s">
        <v>688</v>
      </c>
    </row>
    <row r="2">
      <c r="A2" s="14" t="s">
        <v>95</v>
      </c>
      <c r="B2" s="14" t="s">
        <v>690</v>
      </c>
      <c r="C2" s="14" t="s">
        <v>691</v>
      </c>
      <c r="D2" s="14" t="s">
        <v>435</v>
      </c>
      <c r="E2" s="14" t="s">
        <v>131</v>
      </c>
      <c r="F2" s="14" t="s">
        <v>692</v>
      </c>
      <c r="G2" s="14" t="s">
        <v>693</v>
      </c>
      <c r="H2" s="14" t="s">
        <v>133</v>
      </c>
      <c r="I2" s="14" t="s">
        <v>694</v>
      </c>
      <c r="J2" s="14" t="s">
        <v>137</v>
      </c>
      <c r="K2" s="14" t="s">
        <v>33</v>
      </c>
      <c r="L2" s="14" t="s">
        <v>695</v>
      </c>
      <c r="M2" s="14" t="s">
        <v>696</v>
      </c>
      <c r="N2" s="14" t="s">
        <v>697</v>
      </c>
    </row>
    <row r="3">
      <c r="A3" s="46" t="s">
        <v>95</v>
      </c>
      <c r="B3" s="46" t="s">
        <v>690</v>
      </c>
      <c r="C3" s="46" t="s">
        <v>691</v>
      </c>
      <c r="D3" s="46" t="s">
        <v>456</v>
      </c>
      <c r="E3" s="46" t="s">
        <v>140</v>
      </c>
      <c r="F3" s="46" t="s">
        <v>699</v>
      </c>
      <c r="G3" s="46" t="s">
        <v>700</v>
      </c>
      <c r="H3" s="46" t="s">
        <v>141</v>
      </c>
      <c r="I3" s="46" t="s">
        <v>701</v>
      </c>
      <c r="J3" s="46" t="s">
        <v>137</v>
      </c>
      <c r="K3" s="46" t="s">
        <v>33</v>
      </c>
      <c r="L3" s="46" t="s">
        <v>695</v>
      </c>
      <c r="M3" s="46" t="s">
        <v>696</v>
      </c>
      <c r="N3" s="46" t="s">
        <v>697</v>
      </c>
    </row>
    <row r="4">
      <c r="A4" s="14" t="s">
        <v>95</v>
      </c>
      <c r="B4" s="14" t="s">
        <v>690</v>
      </c>
      <c r="C4" s="14" t="s">
        <v>691</v>
      </c>
      <c r="D4" s="14" t="s">
        <v>466</v>
      </c>
      <c r="E4" s="14" t="s">
        <v>143</v>
      </c>
      <c r="F4" s="14" t="s">
        <v>706</v>
      </c>
      <c r="G4" s="14" t="s">
        <v>707</v>
      </c>
      <c r="H4" s="14" t="s">
        <v>133</v>
      </c>
      <c r="I4" s="14" t="s">
        <v>708</v>
      </c>
      <c r="J4" s="14" t="s">
        <v>137</v>
      </c>
      <c r="K4" s="14" t="s">
        <v>33</v>
      </c>
      <c r="L4" s="14" t="s">
        <v>695</v>
      </c>
      <c r="M4" s="14" t="s">
        <v>696</v>
      </c>
      <c r="N4" s="14" t="s">
        <v>697</v>
      </c>
    </row>
    <row r="5">
      <c r="A5" s="46" t="s">
        <v>95</v>
      </c>
      <c r="B5" s="46" t="s">
        <v>690</v>
      </c>
      <c r="C5" s="46" t="s">
        <v>691</v>
      </c>
      <c r="D5" s="46" t="s">
        <v>477</v>
      </c>
      <c r="E5" s="46" t="s">
        <v>147</v>
      </c>
      <c r="F5" s="46" t="s">
        <v>710</v>
      </c>
      <c r="G5" s="46" t="s">
        <v>711</v>
      </c>
      <c r="H5" s="46" t="s">
        <v>149</v>
      </c>
      <c r="I5" s="46" t="s">
        <v>453</v>
      </c>
      <c r="J5" s="46" t="s">
        <v>162</v>
      </c>
      <c r="K5" s="46" t="s">
        <v>33</v>
      </c>
      <c r="L5" s="46" t="s">
        <v>695</v>
      </c>
      <c r="M5" s="46" t="s">
        <v>696</v>
      </c>
      <c r="N5" s="46" t="s">
        <v>697</v>
      </c>
    </row>
    <row r="6">
      <c r="A6" s="14" t="s">
        <v>95</v>
      </c>
      <c r="B6" s="14" t="s">
        <v>690</v>
      </c>
      <c r="C6" s="14" t="s">
        <v>691</v>
      </c>
      <c r="D6" s="14" t="s">
        <v>490</v>
      </c>
      <c r="E6" s="14" t="s">
        <v>155</v>
      </c>
      <c r="F6" s="14" t="s">
        <v>713</v>
      </c>
      <c r="G6" s="14" t="s">
        <v>714</v>
      </c>
      <c r="H6" s="14" t="s">
        <v>133</v>
      </c>
      <c r="I6" s="14" t="s">
        <v>715</v>
      </c>
      <c r="J6" s="14" t="s">
        <v>137</v>
      </c>
      <c r="K6" s="14" t="s">
        <v>33</v>
      </c>
      <c r="L6" s="14" t="s">
        <v>695</v>
      </c>
      <c r="M6" s="14" t="s">
        <v>696</v>
      </c>
      <c r="N6" s="14" t="s">
        <v>697</v>
      </c>
    </row>
    <row r="7">
      <c r="A7" s="46" t="s">
        <v>95</v>
      </c>
      <c r="B7" s="46" t="s">
        <v>690</v>
      </c>
      <c r="C7" s="46" t="s">
        <v>716</v>
      </c>
      <c r="D7" s="46" t="s">
        <v>502</v>
      </c>
      <c r="E7" s="46" t="s">
        <v>156</v>
      </c>
      <c r="F7" s="46" t="s">
        <v>718</v>
      </c>
      <c r="G7" s="46" t="s">
        <v>719</v>
      </c>
      <c r="H7" s="46" t="s">
        <v>157</v>
      </c>
      <c r="I7" s="46" t="s">
        <v>720</v>
      </c>
      <c r="J7" s="46" t="s">
        <v>137</v>
      </c>
      <c r="K7" s="46" t="s">
        <v>33</v>
      </c>
      <c r="L7" s="46" t="s">
        <v>695</v>
      </c>
      <c r="M7" s="46" t="s">
        <v>696</v>
      </c>
      <c r="N7" s="46" t="s">
        <v>697</v>
      </c>
    </row>
    <row r="8">
      <c r="A8" s="14" t="s">
        <v>95</v>
      </c>
      <c r="B8" s="14" t="s">
        <v>690</v>
      </c>
      <c r="C8" s="14" t="s">
        <v>716</v>
      </c>
      <c r="D8" s="14" t="s">
        <v>511</v>
      </c>
      <c r="E8" s="14" t="s">
        <v>159</v>
      </c>
      <c r="F8" s="14" t="s">
        <v>721</v>
      </c>
      <c r="G8" s="14" t="s">
        <v>722</v>
      </c>
      <c r="H8" s="14" t="s">
        <v>160</v>
      </c>
      <c r="I8" s="14" t="s">
        <v>723</v>
      </c>
      <c r="J8" s="14" t="s">
        <v>162</v>
      </c>
      <c r="K8" s="14" t="s">
        <v>33</v>
      </c>
      <c r="L8" s="14" t="s">
        <v>695</v>
      </c>
      <c r="M8" s="14" t="s">
        <v>696</v>
      </c>
      <c r="N8" s="14" t="s">
        <v>697</v>
      </c>
    </row>
    <row r="9">
      <c r="A9" s="46" t="s">
        <v>95</v>
      </c>
      <c r="B9" s="46" t="s">
        <v>690</v>
      </c>
      <c r="C9" s="46" t="s">
        <v>716</v>
      </c>
      <c r="D9" s="46" t="s">
        <v>525</v>
      </c>
      <c r="E9" s="46" t="s">
        <v>172</v>
      </c>
      <c r="F9" s="46" t="s">
        <v>725</v>
      </c>
      <c r="G9" s="46" t="s">
        <v>726</v>
      </c>
      <c r="H9" s="46" t="s">
        <v>173</v>
      </c>
      <c r="I9" s="46" t="s">
        <v>727</v>
      </c>
      <c r="J9" s="46" t="s">
        <v>162</v>
      </c>
      <c r="K9" s="46" t="s">
        <v>33</v>
      </c>
      <c r="L9" s="46" t="s">
        <v>695</v>
      </c>
      <c r="M9" s="46" t="s">
        <v>696</v>
      </c>
      <c r="N9" s="46" t="s">
        <v>697</v>
      </c>
    </row>
    <row r="10">
      <c r="A10" s="14" t="s">
        <v>95</v>
      </c>
      <c r="B10" s="14" t="s">
        <v>690</v>
      </c>
      <c r="C10" s="14" t="s">
        <v>716</v>
      </c>
      <c r="D10" s="14" t="s">
        <v>533</v>
      </c>
      <c r="E10" s="14" t="s">
        <v>174</v>
      </c>
      <c r="F10" s="14" t="s">
        <v>541</v>
      </c>
      <c r="G10" s="14" t="s">
        <v>719</v>
      </c>
      <c r="H10" s="14" t="s">
        <v>175</v>
      </c>
      <c r="I10" s="14" t="s">
        <v>181</v>
      </c>
      <c r="J10" s="14" t="s">
        <v>176</v>
      </c>
      <c r="K10" s="14" t="s">
        <v>33</v>
      </c>
      <c r="L10" s="14" t="s">
        <v>695</v>
      </c>
      <c r="M10" s="14" t="s">
        <v>696</v>
      </c>
      <c r="N10" s="14" t="s">
        <v>697</v>
      </c>
    </row>
    <row r="11">
      <c r="A11" s="46" t="s">
        <v>95</v>
      </c>
      <c r="B11" s="46" t="s">
        <v>690</v>
      </c>
      <c r="C11" s="46" t="s">
        <v>716</v>
      </c>
      <c r="D11" s="46" t="s">
        <v>549</v>
      </c>
      <c r="E11" s="46" t="s">
        <v>183</v>
      </c>
      <c r="F11" s="46" t="s">
        <v>560</v>
      </c>
      <c r="G11" s="46" t="s">
        <v>729</v>
      </c>
      <c r="H11" s="46" t="s">
        <v>184</v>
      </c>
      <c r="I11" s="46" t="s">
        <v>730</v>
      </c>
      <c r="J11" s="46" t="s">
        <v>176</v>
      </c>
      <c r="K11" s="46" t="s">
        <v>33</v>
      </c>
      <c r="L11" s="46" t="s">
        <v>695</v>
      </c>
      <c r="M11" s="46" t="s">
        <v>696</v>
      </c>
      <c r="N11" s="46" t="s">
        <v>697</v>
      </c>
    </row>
    <row r="12">
      <c r="A12" s="14" t="s">
        <v>138</v>
      </c>
      <c r="B12" s="14" t="s">
        <v>731</v>
      </c>
      <c r="C12" s="14" t="s">
        <v>691</v>
      </c>
      <c r="D12" s="14" t="s">
        <v>563</v>
      </c>
      <c r="E12" s="14" t="s">
        <v>367</v>
      </c>
      <c r="F12" s="14" t="s">
        <v>566</v>
      </c>
      <c r="G12" s="14" t="s">
        <v>732</v>
      </c>
      <c r="H12" s="14" t="s">
        <v>133</v>
      </c>
      <c r="I12" s="14" t="s">
        <v>453</v>
      </c>
      <c r="J12" s="14" t="s">
        <v>162</v>
      </c>
      <c r="K12" s="14" t="s">
        <v>14</v>
      </c>
      <c r="L12" s="14" t="s">
        <v>733</v>
      </c>
      <c r="M12" s="14" t="s">
        <v>733</v>
      </c>
      <c r="N12" s="14" t="s">
        <v>733</v>
      </c>
    </row>
    <row r="13">
      <c r="A13" s="46" t="s">
        <v>138</v>
      </c>
      <c r="B13" s="46" t="s">
        <v>731</v>
      </c>
      <c r="C13" s="46" t="s">
        <v>691</v>
      </c>
      <c r="D13" s="46" t="s">
        <v>580</v>
      </c>
      <c r="E13" s="46" t="s">
        <v>203</v>
      </c>
      <c r="F13" s="46" t="s">
        <v>735</v>
      </c>
      <c r="G13" s="46" t="s">
        <v>736</v>
      </c>
      <c r="H13" s="46" t="s">
        <v>160</v>
      </c>
      <c r="I13" s="46" t="s">
        <v>305</v>
      </c>
      <c r="J13" s="46" t="s">
        <v>581</v>
      </c>
      <c r="K13" s="46" t="s">
        <v>33</v>
      </c>
      <c r="L13" s="46" t="s">
        <v>695</v>
      </c>
      <c r="M13" s="46" t="s">
        <v>696</v>
      </c>
      <c r="N13" s="46" t="s">
        <v>697</v>
      </c>
    </row>
    <row r="14">
      <c r="A14" s="14" t="s">
        <v>138</v>
      </c>
      <c r="B14" s="14" t="s">
        <v>731</v>
      </c>
      <c r="C14" s="14" t="s">
        <v>691</v>
      </c>
      <c r="D14" s="14" t="s">
        <v>588</v>
      </c>
      <c r="E14" s="14" t="s">
        <v>208</v>
      </c>
      <c r="F14" s="14" t="s">
        <v>737</v>
      </c>
      <c r="G14" s="14" t="s">
        <v>738</v>
      </c>
      <c r="H14" s="14" t="s">
        <v>210</v>
      </c>
      <c r="I14" s="14" t="s">
        <v>739</v>
      </c>
      <c r="J14" s="14" t="s">
        <v>137</v>
      </c>
      <c r="K14" s="14" t="s">
        <v>33</v>
      </c>
      <c r="L14" s="14" t="s">
        <v>695</v>
      </c>
      <c r="M14" s="14" t="s">
        <v>696</v>
      </c>
      <c r="N14" s="14" t="s">
        <v>697</v>
      </c>
    </row>
    <row r="15">
      <c r="A15" s="46" t="s">
        <v>138</v>
      </c>
      <c r="B15" s="46" t="s">
        <v>731</v>
      </c>
      <c r="C15" s="46" t="s">
        <v>691</v>
      </c>
      <c r="D15" s="46" t="s">
        <v>592</v>
      </c>
      <c r="E15" s="46" t="s">
        <v>218</v>
      </c>
      <c r="F15" s="46" t="s">
        <v>741</v>
      </c>
      <c r="G15" s="46" t="s">
        <v>707</v>
      </c>
      <c r="H15" s="46" t="s">
        <v>133</v>
      </c>
      <c r="I15" s="46" t="s">
        <v>742</v>
      </c>
      <c r="J15" s="46" t="s">
        <v>137</v>
      </c>
      <c r="K15" s="46" t="s">
        <v>33</v>
      </c>
      <c r="L15" s="46" t="s">
        <v>695</v>
      </c>
      <c r="M15" s="46" t="s">
        <v>696</v>
      </c>
      <c r="N15" s="46" t="s">
        <v>697</v>
      </c>
    </row>
    <row r="16">
      <c r="A16" s="14" t="s">
        <v>138</v>
      </c>
      <c r="B16" s="14" t="s">
        <v>731</v>
      </c>
      <c r="C16" s="14" t="s">
        <v>691</v>
      </c>
      <c r="D16" s="14" t="s">
        <v>601</v>
      </c>
      <c r="E16" s="14" t="s">
        <v>228</v>
      </c>
      <c r="F16" s="14" t="s">
        <v>744</v>
      </c>
      <c r="G16" s="14" t="s">
        <v>745</v>
      </c>
      <c r="H16" s="14" t="s">
        <v>133</v>
      </c>
      <c r="I16" s="14" t="s">
        <v>746</v>
      </c>
      <c r="J16" s="14" t="s">
        <v>137</v>
      </c>
      <c r="K16" s="14" t="s">
        <v>33</v>
      </c>
      <c r="L16" s="14" t="s">
        <v>695</v>
      </c>
      <c r="M16" s="14" t="s">
        <v>696</v>
      </c>
      <c r="N16" s="14" t="s">
        <v>697</v>
      </c>
    </row>
    <row r="17">
      <c r="A17" s="46" t="s">
        <v>138</v>
      </c>
      <c r="B17" s="46" t="s">
        <v>731</v>
      </c>
      <c r="C17" s="46" t="s">
        <v>716</v>
      </c>
      <c r="D17" s="46" t="s">
        <v>614</v>
      </c>
      <c r="E17" s="46" t="s">
        <v>234</v>
      </c>
      <c r="F17" s="46" t="s">
        <v>747</v>
      </c>
      <c r="G17" s="46" t="s">
        <v>748</v>
      </c>
      <c r="H17" s="46" t="s">
        <v>236</v>
      </c>
      <c r="I17" s="46" t="s">
        <v>749</v>
      </c>
      <c r="J17" s="46" t="s">
        <v>137</v>
      </c>
      <c r="K17" s="46" t="s">
        <v>33</v>
      </c>
      <c r="L17" s="46" t="s">
        <v>695</v>
      </c>
      <c r="M17" s="46" t="s">
        <v>696</v>
      </c>
      <c r="N17" s="46" t="s">
        <v>697</v>
      </c>
    </row>
    <row r="18">
      <c r="A18" s="14" t="s">
        <v>138</v>
      </c>
      <c r="B18" s="14" t="s">
        <v>731</v>
      </c>
      <c r="C18" s="14" t="s">
        <v>716</v>
      </c>
      <c r="D18" s="14" t="s">
        <v>625</v>
      </c>
      <c r="E18" s="14" t="s">
        <v>241</v>
      </c>
      <c r="F18" s="14" t="s">
        <v>751</v>
      </c>
      <c r="G18" s="14" t="s">
        <v>752</v>
      </c>
      <c r="H18" s="14" t="s">
        <v>173</v>
      </c>
      <c r="I18" s="14" t="s">
        <v>739</v>
      </c>
      <c r="J18" s="14" t="s">
        <v>137</v>
      </c>
      <c r="K18" s="14" t="s">
        <v>33</v>
      </c>
      <c r="L18" s="14" t="s">
        <v>695</v>
      </c>
      <c r="M18" s="14" t="s">
        <v>696</v>
      </c>
      <c r="N18" s="14" t="s">
        <v>697</v>
      </c>
    </row>
    <row r="19">
      <c r="A19" s="46" t="s">
        <v>138</v>
      </c>
      <c r="B19" s="46" t="s">
        <v>731</v>
      </c>
      <c r="C19" s="46" t="s">
        <v>716</v>
      </c>
      <c r="D19" s="46" t="s">
        <v>636</v>
      </c>
      <c r="E19" s="46" t="s">
        <v>245</v>
      </c>
      <c r="F19" s="46" t="s">
        <v>753</v>
      </c>
      <c r="G19" s="46" t="s">
        <v>719</v>
      </c>
      <c r="H19" s="46" t="s">
        <v>246</v>
      </c>
      <c r="I19" s="46" t="s">
        <v>754</v>
      </c>
      <c r="J19" s="46" t="s">
        <v>137</v>
      </c>
      <c r="K19" s="46" t="s">
        <v>33</v>
      </c>
      <c r="L19" s="46" t="s">
        <v>695</v>
      </c>
      <c r="M19" s="46" t="s">
        <v>696</v>
      </c>
      <c r="N19" s="46" t="s">
        <v>697</v>
      </c>
    </row>
    <row r="20">
      <c r="A20" s="14" t="s">
        <v>138</v>
      </c>
      <c r="B20" s="14" t="s">
        <v>731</v>
      </c>
      <c r="C20" s="14" t="s">
        <v>716</v>
      </c>
      <c r="D20" s="14" t="s">
        <v>650</v>
      </c>
      <c r="E20" s="14" t="s">
        <v>248</v>
      </c>
      <c r="F20" s="14" t="s">
        <v>760</v>
      </c>
      <c r="G20" s="14" t="s">
        <v>761</v>
      </c>
      <c r="H20" s="14" t="s">
        <v>149</v>
      </c>
      <c r="I20" s="14" t="s">
        <v>762</v>
      </c>
      <c r="J20" s="14" t="s">
        <v>162</v>
      </c>
      <c r="K20" s="14" t="s">
        <v>33</v>
      </c>
      <c r="L20" s="14" t="s">
        <v>695</v>
      </c>
      <c r="M20" s="14" t="s">
        <v>696</v>
      </c>
      <c r="N20" s="14" t="s">
        <v>697</v>
      </c>
    </row>
    <row r="21" ht="15.75" customHeight="1">
      <c r="A21" s="46" t="s">
        <v>138</v>
      </c>
      <c r="B21" s="46" t="s">
        <v>731</v>
      </c>
      <c r="C21" s="46" t="s">
        <v>716</v>
      </c>
      <c r="D21" s="46" t="s">
        <v>663</v>
      </c>
      <c r="E21" s="46" t="s">
        <v>258</v>
      </c>
      <c r="F21" s="46" t="s">
        <v>765</v>
      </c>
      <c r="G21" s="46" t="s">
        <v>766</v>
      </c>
      <c r="H21" s="46" t="s">
        <v>160</v>
      </c>
      <c r="I21" s="46" t="s">
        <v>723</v>
      </c>
      <c r="J21" s="46" t="s">
        <v>162</v>
      </c>
      <c r="K21" s="46" t="s">
        <v>33</v>
      </c>
      <c r="L21" s="46" t="s">
        <v>695</v>
      </c>
      <c r="M21" s="46" t="s">
        <v>696</v>
      </c>
      <c r="N21" s="46" t="s">
        <v>697</v>
      </c>
    </row>
    <row r="22" ht="15.75" customHeight="1">
      <c r="A22" s="14" t="s">
        <v>164</v>
      </c>
      <c r="B22" s="14" t="s">
        <v>767</v>
      </c>
      <c r="C22" s="14" t="s">
        <v>691</v>
      </c>
      <c r="D22" s="14" t="s">
        <v>678</v>
      </c>
      <c r="E22" s="14" t="s">
        <v>261</v>
      </c>
      <c r="F22" s="14" t="s">
        <v>768</v>
      </c>
      <c r="G22" s="14" t="s">
        <v>770</v>
      </c>
      <c r="H22" s="14" t="s">
        <v>133</v>
      </c>
      <c r="I22" s="14" t="s">
        <v>771</v>
      </c>
      <c r="J22" s="14" t="s">
        <v>162</v>
      </c>
      <c r="K22" s="14" t="s">
        <v>33</v>
      </c>
      <c r="L22" s="14" t="s">
        <v>695</v>
      </c>
      <c r="M22" s="14" t="s">
        <v>696</v>
      </c>
      <c r="N22" s="14" t="s">
        <v>697</v>
      </c>
    </row>
    <row r="23" ht="15.75" customHeight="1">
      <c r="A23" s="46" t="s">
        <v>164</v>
      </c>
      <c r="B23" s="46" t="s">
        <v>767</v>
      </c>
      <c r="C23" s="46" t="s">
        <v>691</v>
      </c>
      <c r="D23" s="46" t="s">
        <v>680</v>
      </c>
      <c r="E23" s="46" t="s">
        <v>266</v>
      </c>
      <c r="F23" s="46" t="s">
        <v>772</v>
      </c>
      <c r="G23" s="46" t="s">
        <v>773</v>
      </c>
      <c r="H23" s="46" t="s">
        <v>267</v>
      </c>
      <c r="I23" s="46" t="s">
        <v>274</v>
      </c>
      <c r="J23" s="46" t="s">
        <v>232</v>
      </c>
      <c r="K23" s="46" t="s">
        <v>33</v>
      </c>
      <c r="L23" s="46" t="s">
        <v>695</v>
      </c>
      <c r="M23" s="46" t="s">
        <v>696</v>
      </c>
      <c r="N23" s="46" t="s">
        <v>697</v>
      </c>
    </row>
    <row r="24" ht="15.75" customHeight="1">
      <c r="A24" s="14" t="s">
        <v>164</v>
      </c>
      <c r="B24" s="14" t="s">
        <v>767</v>
      </c>
      <c r="C24" s="14" t="s">
        <v>691</v>
      </c>
      <c r="D24" s="14" t="s">
        <v>689</v>
      </c>
      <c r="E24" s="14" t="s">
        <v>280</v>
      </c>
      <c r="F24" s="14" t="s">
        <v>775</v>
      </c>
      <c r="G24" s="14" t="s">
        <v>776</v>
      </c>
      <c r="H24" s="14" t="s">
        <v>173</v>
      </c>
      <c r="I24" s="14" t="s">
        <v>285</v>
      </c>
      <c r="J24" s="14" t="s">
        <v>232</v>
      </c>
      <c r="K24" s="14" t="s">
        <v>33</v>
      </c>
      <c r="L24" s="14" t="s">
        <v>695</v>
      </c>
      <c r="M24" s="14" t="s">
        <v>696</v>
      </c>
      <c r="N24" s="14" t="s">
        <v>697</v>
      </c>
    </row>
    <row r="25" ht="15.75" customHeight="1">
      <c r="A25" s="46" t="s">
        <v>164</v>
      </c>
      <c r="B25" s="46" t="s">
        <v>767</v>
      </c>
      <c r="C25" s="46" t="s">
        <v>691</v>
      </c>
      <c r="D25" s="46" t="s">
        <v>698</v>
      </c>
      <c r="E25" s="46" t="s">
        <v>291</v>
      </c>
      <c r="F25" s="46" t="s">
        <v>702</v>
      </c>
      <c r="G25" s="46" t="s">
        <v>776</v>
      </c>
      <c r="H25" s="46" t="s">
        <v>173</v>
      </c>
      <c r="I25" s="46" t="s">
        <v>782</v>
      </c>
      <c r="J25" s="46" t="s">
        <v>232</v>
      </c>
      <c r="K25" s="46" t="s">
        <v>33</v>
      </c>
      <c r="L25" s="46" t="s">
        <v>695</v>
      </c>
      <c r="M25" s="46" t="s">
        <v>696</v>
      </c>
      <c r="N25" s="46" t="s">
        <v>697</v>
      </c>
    </row>
    <row r="26" ht="15.75" customHeight="1">
      <c r="A26" s="14" t="s">
        <v>164</v>
      </c>
      <c r="B26" s="14" t="s">
        <v>767</v>
      </c>
      <c r="C26" s="14" t="s">
        <v>691</v>
      </c>
      <c r="D26" s="14" t="s">
        <v>709</v>
      </c>
      <c r="E26" s="14" t="s">
        <v>303</v>
      </c>
      <c r="F26" s="14" t="s">
        <v>784</v>
      </c>
      <c r="G26" s="14" t="s">
        <v>776</v>
      </c>
      <c r="H26" s="14" t="s">
        <v>173</v>
      </c>
      <c r="I26" s="14" t="s">
        <v>285</v>
      </c>
      <c r="J26" s="14" t="s">
        <v>232</v>
      </c>
      <c r="K26" s="14" t="s">
        <v>33</v>
      </c>
      <c r="L26" s="14" t="s">
        <v>695</v>
      </c>
      <c r="M26" s="14" t="s">
        <v>696</v>
      </c>
      <c r="N26" s="14" t="s">
        <v>697</v>
      </c>
    </row>
    <row r="27" ht="15.75" customHeight="1">
      <c r="A27" s="46" t="s">
        <v>164</v>
      </c>
      <c r="B27" s="46" t="s">
        <v>767</v>
      </c>
      <c r="C27" s="46" t="s">
        <v>716</v>
      </c>
      <c r="D27" s="46" t="s">
        <v>712</v>
      </c>
      <c r="E27" s="46" t="s">
        <v>309</v>
      </c>
      <c r="F27" s="46" t="s">
        <v>787</v>
      </c>
      <c r="G27" s="46" t="s">
        <v>788</v>
      </c>
      <c r="H27" s="46" t="s">
        <v>310</v>
      </c>
      <c r="I27" s="46" t="s">
        <v>789</v>
      </c>
      <c r="J27" s="46" t="s">
        <v>232</v>
      </c>
      <c r="K27" s="46" t="s">
        <v>33</v>
      </c>
      <c r="L27" s="46" t="s">
        <v>695</v>
      </c>
      <c r="M27" s="46" t="s">
        <v>696</v>
      </c>
      <c r="N27" s="46" t="s">
        <v>697</v>
      </c>
    </row>
    <row r="28" ht="15.75" customHeight="1">
      <c r="A28" s="14" t="s">
        <v>164</v>
      </c>
      <c r="B28" s="14" t="s">
        <v>767</v>
      </c>
      <c r="C28" s="14" t="s">
        <v>716</v>
      </c>
      <c r="D28" s="14" t="s">
        <v>717</v>
      </c>
      <c r="E28" s="14" t="s">
        <v>320</v>
      </c>
      <c r="F28" s="14" t="s">
        <v>791</v>
      </c>
      <c r="G28" s="14" t="s">
        <v>792</v>
      </c>
      <c r="H28" s="14" t="s">
        <v>160</v>
      </c>
      <c r="I28" s="14" t="s">
        <v>793</v>
      </c>
      <c r="J28" s="14" t="s">
        <v>232</v>
      </c>
      <c r="K28" s="14" t="s">
        <v>33</v>
      </c>
      <c r="L28" s="14" t="s">
        <v>695</v>
      </c>
      <c r="M28" s="14" t="s">
        <v>696</v>
      </c>
      <c r="N28" s="14" t="s">
        <v>697</v>
      </c>
    </row>
    <row r="29" ht="15.75" customHeight="1">
      <c r="A29" s="46" t="s">
        <v>164</v>
      </c>
      <c r="B29" s="46" t="s">
        <v>767</v>
      </c>
      <c r="C29" s="46" t="s">
        <v>716</v>
      </c>
      <c r="D29" s="46" t="s">
        <v>724</v>
      </c>
      <c r="E29" s="46" t="s">
        <v>329</v>
      </c>
      <c r="F29" s="46" t="s">
        <v>796</v>
      </c>
      <c r="G29" s="46" t="s">
        <v>797</v>
      </c>
      <c r="H29" s="46" t="s">
        <v>330</v>
      </c>
      <c r="I29" s="46" t="s">
        <v>793</v>
      </c>
      <c r="J29" s="46" t="s">
        <v>232</v>
      </c>
      <c r="K29" s="46" t="s">
        <v>33</v>
      </c>
      <c r="L29" s="46" t="s">
        <v>695</v>
      </c>
      <c r="M29" s="46" t="s">
        <v>696</v>
      </c>
      <c r="N29" s="46" t="s">
        <v>697</v>
      </c>
    </row>
    <row r="30" ht="15.75" customHeight="1">
      <c r="A30" s="14" t="s">
        <v>164</v>
      </c>
      <c r="B30" s="14" t="s">
        <v>767</v>
      </c>
      <c r="C30" s="14" t="s">
        <v>716</v>
      </c>
      <c r="D30" s="14" t="s">
        <v>728</v>
      </c>
      <c r="E30" s="14" t="s">
        <v>334</v>
      </c>
      <c r="F30" s="14" t="s">
        <v>798</v>
      </c>
      <c r="G30" s="14" t="s">
        <v>799</v>
      </c>
      <c r="H30" s="14" t="s">
        <v>173</v>
      </c>
      <c r="I30" s="14" t="s">
        <v>343</v>
      </c>
      <c r="J30" s="14" t="s">
        <v>232</v>
      </c>
      <c r="K30" s="14" t="s">
        <v>33</v>
      </c>
      <c r="L30" s="14" t="s">
        <v>695</v>
      </c>
      <c r="M30" s="14" t="s">
        <v>696</v>
      </c>
      <c r="N30" s="14" t="s">
        <v>697</v>
      </c>
    </row>
    <row r="31" ht="15.75" customHeight="1">
      <c r="A31" s="46" t="s">
        <v>164</v>
      </c>
      <c r="B31" s="46" t="s">
        <v>767</v>
      </c>
      <c r="C31" s="46" t="s">
        <v>716</v>
      </c>
      <c r="D31" s="46" t="s">
        <v>734</v>
      </c>
      <c r="E31" s="46" t="s">
        <v>346</v>
      </c>
      <c r="F31" s="46" t="s">
        <v>802</v>
      </c>
      <c r="G31" s="46" t="s">
        <v>776</v>
      </c>
      <c r="H31" s="46" t="s">
        <v>310</v>
      </c>
      <c r="I31" s="46" t="s">
        <v>285</v>
      </c>
      <c r="J31" s="46" t="s">
        <v>232</v>
      </c>
      <c r="K31" s="46" t="s">
        <v>33</v>
      </c>
      <c r="L31" s="46" t="s">
        <v>695</v>
      </c>
      <c r="M31" s="46" t="s">
        <v>696</v>
      </c>
      <c r="N31" s="46" t="s">
        <v>697</v>
      </c>
    </row>
    <row r="32" ht="15.75" customHeight="1">
      <c r="A32" s="14" t="s">
        <v>186</v>
      </c>
      <c r="B32" s="14" t="s">
        <v>803</v>
      </c>
      <c r="C32" s="14" t="s">
        <v>691</v>
      </c>
      <c r="D32" s="14" t="s">
        <v>740</v>
      </c>
      <c r="E32" s="14" t="s">
        <v>350</v>
      </c>
      <c r="F32" s="14" t="s">
        <v>804</v>
      </c>
      <c r="G32" s="14" t="s">
        <v>770</v>
      </c>
      <c r="H32" s="14" t="s">
        <v>133</v>
      </c>
      <c r="I32" s="14" t="s">
        <v>453</v>
      </c>
      <c r="J32" s="14" t="s">
        <v>351</v>
      </c>
      <c r="K32" s="14" t="s">
        <v>33</v>
      </c>
      <c r="L32" s="14" t="s">
        <v>695</v>
      </c>
      <c r="M32" s="14" t="s">
        <v>696</v>
      </c>
      <c r="N32" s="14" t="s">
        <v>697</v>
      </c>
    </row>
    <row r="33" ht="15.75" customHeight="1">
      <c r="A33" s="46" t="s">
        <v>186</v>
      </c>
      <c r="B33" s="46" t="s">
        <v>803</v>
      </c>
      <c r="C33" s="46" t="s">
        <v>691</v>
      </c>
      <c r="D33" s="46" t="s">
        <v>743</v>
      </c>
      <c r="E33" s="46" t="s">
        <v>354</v>
      </c>
      <c r="F33" s="46" t="s">
        <v>808</v>
      </c>
      <c r="G33" s="46" t="s">
        <v>809</v>
      </c>
      <c r="H33" s="46" t="s">
        <v>356</v>
      </c>
      <c r="I33" s="46" t="s">
        <v>762</v>
      </c>
      <c r="J33" s="46" t="s">
        <v>351</v>
      </c>
      <c r="K33" s="46" t="s">
        <v>33</v>
      </c>
      <c r="L33" s="46" t="s">
        <v>695</v>
      </c>
      <c r="M33" s="46" t="s">
        <v>696</v>
      </c>
      <c r="N33" s="46" t="s">
        <v>697</v>
      </c>
    </row>
    <row r="34" ht="15.75" customHeight="1">
      <c r="A34" s="14" t="s">
        <v>186</v>
      </c>
      <c r="B34" s="14" t="s">
        <v>803</v>
      </c>
      <c r="C34" s="14" t="s">
        <v>691</v>
      </c>
      <c r="D34" s="14" t="s">
        <v>750</v>
      </c>
      <c r="E34" s="14" t="s">
        <v>362</v>
      </c>
      <c r="F34" s="14" t="s">
        <v>810</v>
      </c>
      <c r="G34" s="14" t="s">
        <v>811</v>
      </c>
      <c r="H34" s="14" t="s">
        <v>133</v>
      </c>
      <c r="I34" s="14" t="s">
        <v>813</v>
      </c>
      <c r="J34" s="14" t="s">
        <v>351</v>
      </c>
      <c r="K34" s="14" t="s">
        <v>33</v>
      </c>
      <c r="L34" s="14" t="s">
        <v>695</v>
      </c>
      <c r="M34" s="14" t="s">
        <v>696</v>
      </c>
      <c r="N34" s="14" t="s">
        <v>697</v>
      </c>
    </row>
    <row r="35" ht="15.75" customHeight="1">
      <c r="A35" s="46" t="s">
        <v>186</v>
      </c>
      <c r="B35" s="46" t="s">
        <v>803</v>
      </c>
      <c r="C35" s="46" t="s">
        <v>716</v>
      </c>
      <c r="D35" s="46" t="s">
        <v>755</v>
      </c>
      <c r="E35" s="46" t="s">
        <v>222</v>
      </c>
      <c r="F35" s="46" t="s">
        <v>816</v>
      </c>
      <c r="G35" s="46" t="s">
        <v>817</v>
      </c>
      <c r="H35" s="46" t="s">
        <v>756</v>
      </c>
      <c r="I35" s="46" t="s">
        <v>818</v>
      </c>
      <c r="J35" s="46" t="s">
        <v>232</v>
      </c>
      <c r="K35" s="46" t="s">
        <v>14</v>
      </c>
      <c r="L35" s="46" t="s">
        <v>733</v>
      </c>
      <c r="M35" s="46" t="s">
        <v>733</v>
      </c>
      <c r="N35" s="46" t="s">
        <v>733</v>
      </c>
    </row>
    <row r="36" ht="15.75" customHeight="1">
      <c r="A36" s="14" t="s">
        <v>186</v>
      </c>
      <c r="B36" s="14" t="s">
        <v>803</v>
      </c>
      <c r="C36" s="14" t="s">
        <v>716</v>
      </c>
      <c r="D36" s="14" t="s">
        <v>764</v>
      </c>
      <c r="E36" s="14" t="s">
        <v>364</v>
      </c>
      <c r="F36" s="14" t="s">
        <v>819</v>
      </c>
      <c r="G36" s="14" t="s">
        <v>719</v>
      </c>
      <c r="H36" s="14" t="s">
        <v>365</v>
      </c>
      <c r="I36" s="14" t="s">
        <v>368</v>
      </c>
      <c r="J36" s="14" t="s">
        <v>232</v>
      </c>
      <c r="K36" s="14" t="s">
        <v>33</v>
      </c>
      <c r="L36" s="14" t="s">
        <v>695</v>
      </c>
      <c r="M36" s="14" t="s">
        <v>696</v>
      </c>
      <c r="N36" s="14" t="s">
        <v>697</v>
      </c>
    </row>
    <row r="37" ht="15.75" customHeight="1">
      <c r="A37" s="46" t="s">
        <v>186</v>
      </c>
      <c r="B37" s="46" t="s">
        <v>803</v>
      </c>
      <c r="C37" s="46" t="s">
        <v>716</v>
      </c>
      <c r="D37" s="46" t="s">
        <v>769</v>
      </c>
      <c r="E37" s="46" t="s">
        <v>369</v>
      </c>
      <c r="F37" s="46" t="s">
        <v>822</v>
      </c>
      <c r="G37" s="46" t="s">
        <v>824</v>
      </c>
      <c r="H37" s="46" t="s">
        <v>356</v>
      </c>
      <c r="I37" s="46" t="s">
        <v>305</v>
      </c>
      <c r="J37" s="46" t="s">
        <v>370</v>
      </c>
      <c r="K37" s="46" t="s">
        <v>33</v>
      </c>
      <c r="L37" s="46" t="s">
        <v>695</v>
      </c>
      <c r="M37" s="46" t="s">
        <v>696</v>
      </c>
      <c r="N37" s="46" t="s">
        <v>697</v>
      </c>
    </row>
    <row r="38" ht="15.75" customHeight="1">
      <c r="A38" s="14" t="s">
        <v>186</v>
      </c>
      <c r="B38" s="14" t="s">
        <v>803</v>
      </c>
      <c r="C38" s="14" t="s">
        <v>716</v>
      </c>
      <c r="D38" s="14" t="s">
        <v>774</v>
      </c>
      <c r="E38" s="14" t="s">
        <v>322</v>
      </c>
      <c r="F38" s="14" t="s">
        <v>778</v>
      </c>
      <c r="G38" s="14" t="s">
        <v>828</v>
      </c>
      <c r="H38" s="14" t="s">
        <v>777</v>
      </c>
      <c r="I38" s="14" t="s">
        <v>829</v>
      </c>
      <c r="J38" s="14" t="s">
        <v>232</v>
      </c>
      <c r="K38" s="14" t="s">
        <v>24</v>
      </c>
      <c r="L38" s="14" t="s">
        <v>830</v>
      </c>
      <c r="M38" s="14" t="s">
        <v>832</v>
      </c>
      <c r="N38" s="14" t="s">
        <v>833</v>
      </c>
    </row>
    <row r="39" ht="15.75" customHeight="1">
      <c r="A39" s="46" t="s">
        <v>239</v>
      </c>
      <c r="B39" s="46" t="s">
        <v>836</v>
      </c>
      <c r="C39" s="46" t="s">
        <v>691</v>
      </c>
      <c r="D39" s="46" t="s">
        <v>783</v>
      </c>
      <c r="E39" s="46" t="s">
        <v>374</v>
      </c>
      <c r="F39" s="46" t="s">
        <v>503</v>
      </c>
      <c r="G39" s="46" t="s">
        <v>837</v>
      </c>
      <c r="H39" s="46" t="s">
        <v>133</v>
      </c>
      <c r="I39" s="46" t="s">
        <v>838</v>
      </c>
      <c r="J39" s="46" t="s">
        <v>176</v>
      </c>
      <c r="K39" s="46" t="s">
        <v>33</v>
      </c>
      <c r="L39" s="46" t="s">
        <v>695</v>
      </c>
      <c r="M39" s="46" t="s">
        <v>696</v>
      </c>
      <c r="N39" s="46" t="s">
        <v>697</v>
      </c>
    </row>
    <row r="40" ht="15.75" customHeight="1">
      <c r="A40" s="14" t="s">
        <v>239</v>
      </c>
      <c r="B40" s="14" t="s">
        <v>836</v>
      </c>
      <c r="C40" s="14" t="s">
        <v>691</v>
      </c>
      <c r="D40" s="14" t="s">
        <v>790</v>
      </c>
      <c r="E40" s="14" t="s">
        <v>386</v>
      </c>
      <c r="F40" s="14" t="s">
        <v>517</v>
      </c>
      <c r="G40" s="14" t="s">
        <v>776</v>
      </c>
      <c r="H40" s="14" t="s">
        <v>387</v>
      </c>
      <c r="I40" s="14" t="s">
        <v>742</v>
      </c>
      <c r="J40" s="14" t="s">
        <v>176</v>
      </c>
      <c r="K40" s="14" t="s">
        <v>33</v>
      </c>
      <c r="L40" s="14" t="s">
        <v>695</v>
      </c>
      <c r="M40" s="14" t="s">
        <v>696</v>
      </c>
      <c r="N40" s="14" t="s">
        <v>697</v>
      </c>
    </row>
    <row r="41" ht="15.75" customHeight="1">
      <c r="A41" s="46" t="s">
        <v>239</v>
      </c>
      <c r="B41" s="46" t="s">
        <v>836</v>
      </c>
      <c r="C41" s="46" t="s">
        <v>691</v>
      </c>
      <c r="D41" s="46" t="s">
        <v>795</v>
      </c>
      <c r="E41" s="46" t="s">
        <v>389</v>
      </c>
      <c r="F41" s="46" t="s">
        <v>840</v>
      </c>
      <c r="G41" s="46" t="s">
        <v>809</v>
      </c>
      <c r="H41" s="46" t="s">
        <v>133</v>
      </c>
      <c r="I41" s="46" t="s">
        <v>841</v>
      </c>
      <c r="J41" s="46" t="s">
        <v>162</v>
      </c>
      <c r="K41" s="46" t="s">
        <v>33</v>
      </c>
      <c r="L41" s="46" t="s">
        <v>695</v>
      </c>
      <c r="M41" s="46" t="s">
        <v>696</v>
      </c>
      <c r="N41" s="46" t="s">
        <v>697</v>
      </c>
    </row>
    <row r="42" ht="15.75" customHeight="1">
      <c r="A42" s="14" t="s">
        <v>239</v>
      </c>
      <c r="B42" s="14" t="s">
        <v>836</v>
      </c>
      <c r="C42" s="14" t="s">
        <v>691</v>
      </c>
      <c r="D42" s="14" t="s">
        <v>801</v>
      </c>
      <c r="E42" s="14" t="s">
        <v>397</v>
      </c>
      <c r="F42" s="14" t="s">
        <v>527</v>
      </c>
      <c r="G42" s="14" t="s">
        <v>843</v>
      </c>
      <c r="H42" s="14" t="s">
        <v>398</v>
      </c>
      <c r="I42" s="14" t="s">
        <v>844</v>
      </c>
      <c r="J42" s="14" t="s">
        <v>176</v>
      </c>
      <c r="K42" s="14" t="s">
        <v>33</v>
      </c>
      <c r="L42" s="14" t="s">
        <v>695</v>
      </c>
      <c r="M42" s="14" t="s">
        <v>696</v>
      </c>
      <c r="N42" s="14" t="s">
        <v>697</v>
      </c>
    </row>
    <row r="43" ht="15.75" customHeight="1">
      <c r="A43" s="46" t="s">
        <v>239</v>
      </c>
      <c r="B43" s="46" t="s">
        <v>836</v>
      </c>
      <c r="C43" s="46" t="s">
        <v>716</v>
      </c>
      <c r="D43" s="46" t="s">
        <v>807</v>
      </c>
      <c r="E43" s="46" t="s">
        <v>401</v>
      </c>
      <c r="F43" s="46" t="s">
        <v>537</v>
      </c>
      <c r="G43" s="46" t="s">
        <v>719</v>
      </c>
      <c r="H43" s="46" t="s">
        <v>402</v>
      </c>
      <c r="I43" s="46" t="s">
        <v>846</v>
      </c>
      <c r="J43" s="46" t="s">
        <v>176</v>
      </c>
      <c r="K43" s="46" t="s">
        <v>33</v>
      </c>
      <c r="L43" s="46" t="s">
        <v>695</v>
      </c>
      <c r="M43" s="46" t="s">
        <v>696</v>
      </c>
      <c r="N43" s="46" t="s">
        <v>697</v>
      </c>
    </row>
    <row r="44" ht="15.75" customHeight="1">
      <c r="A44" s="14" t="s">
        <v>239</v>
      </c>
      <c r="B44" s="14" t="s">
        <v>836</v>
      </c>
      <c r="C44" s="14" t="s">
        <v>716</v>
      </c>
      <c r="D44" s="14" t="s">
        <v>815</v>
      </c>
      <c r="E44" s="14" t="s">
        <v>412</v>
      </c>
      <c r="F44" s="14" t="s">
        <v>847</v>
      </c>
      <c r="G44" s="14" t="s">
        <v>719</v>
      </c>
      <c r="H44" s="14" t="s">
        <v>414</v>
      </c>
      <c r="I44" s="14" t="s">
        <v>848</v>
      </c>
      <c r="J44" s="14" t="s">
        <v>162</v>
      </c>
      <c r="K44" s="14" t="s">
        <v>33</v>
      </c>
      <c r="L44" s="14" t="s">
        <v>695</v>
      </c>
      <c r="M44" s="14" t="s">
        <v>696</v>
      </c>
      <c r="N44" s="14" t="s">
        <v>697</v>
      </c>
    </row>
    <row r="45" ht="15.75" customHeight="1">
      <c r="A45" s="46" t="s">
        <v>239</v>
      </c>
      <c r="B45" s="46" t="s">
        <v>836</v>
      </c>
      <c r="C45" s="46" t="s">
        <v>716</v>
      </c>
      <c r="D45" s="46" t="s">
        <v>820</v>
      </c>
      <c r="E45" s="46" t="s">
        <v>344</v>
      </c>
      <c r="F45" s="46" t="s">
        <v>821</v>
      </c>
      <c r="G45" s="46" t="s">
        <v>850</v>
      </c>
      <c r="H45" s="46" t="s">
        <v>173</v>
      </c>
      <c r="I45" s="46" t="s">
        <v>851</v>
      </c>
      <c r="J45" s="46" t="s">
        <v>162</v>
      </c>
      <c r="K45" s="46" t="s">
        <v>24</v>
      </c>
      <c r="L45" s="46" t="s">
        <v>830</v>
      </c>
      <c r="M45" s="46" t="s">
        <v>832</v>
      </c>
      <c r="N45" s="46" t="s">
        <v>833</v>
      </c>
    </row>
    <row r="46" ht="15.75" customHeight="1">
      <c r="A46" s="14" t="s">
        <v>239</v>
      </c>
      <c r="B46" s="14" t="s">
        <v>836</v>
      </c>
      <c r="C46" s="14" t="s">
        <v>716</v>
      </c>
      <c r="D46" s="14" t="s">
        <v>831</v>
      </c>
      <c r="E46" s="14" t="s">
        <v>834</v>
      </c>
      <c r="F46" s="14" t="s">
        <v>459</v>
      </c>
      <c r="G46" s="14" t="s">
        <v>853</v>
      </c>
      <c r="H46" s="14" t="s">
        <v>835</v>
      </c>
      <c r="I46" s="14" t="s">
        <v>854</v>
      </c>
      <c r="J46" s="14" t="s">
        <v>137</v>
      </c>
      <c r="K46" s="14" t="s">
        <v>24</v>
      </c>
      <c r="L46" s="14" t="s">
        <v>830</v>
      </c>
      <c r="M46" s="14" t="s">
        <v>832</v>
      </c>
      <c r="N46" s="14" t="s">
        <v>833</v>
      </c>
    </row>
    <row r="47" ht="15.75" customHeight="1">
      <c r="A47" s="46" t="s">
        <v>239</v>
      </c>
      <c r="B47" s="46" t="s">
        <v>836</v>
      </c>
      <c r="C47" s="46" t="s">
        <v>716</v>
      </c>
      <c r="D47" s="46" t="s">
        <v>839</v>
      </c>
      <c r="E47" s="46" t="s">
        <v>420</v>
      </c>
      <c r="F47" s="46" t="s">
        <v>856</v>
      </c>
      <c r="G47" s="46" t="s">
        <v>857</v>
      </c>
      <c r="H47" s="46" t="s">
        <v>267</v>
      </c>
      <c r="I47" s="46" t="s">
        <v>858</v>
      </c>
      <c r="J47" s="46" t="s">
        <v>232</v>
      </c>
      <c r="K47" s="46" t="s">
        <v>33</v>
      </c>
      <c r="L47" s="46" t="s">
        <v>695</v>
      </c>
      <c r="M47" s="46" t="s">
        <v>696</v>
      </c>
      <c r="N47" s="46" t="s">
        <v>697</v>
      </c>
    </row>
    <row r="48" ht="15.75" customHeight="1">
      <c r="A48" s="14" t="s">
        <v>268</v>
      </c>
      <c r="B48" s="14" t="s">
        <v>859</v>
      </c>
      <c r="C48" s="14" t="s">
        <v>691</v>
      </c>
      <c r="D48" s="14" t="s">
        <v>842</v>
      </c>
      <c r="E48" s="14" t="s">
        <v>424</v>
      </c>
      <c r="F48" s="14" t="s">
        <v>860</v>
      </c>
      <c r="G48" s="14" t="s">
        <v>861</v>
      </c>
      <c r="H48" s="14" t="s">
        <v>133</v>
      </c>
      <c r="I48" s="14" t="s">
        <v>863</v>
      </c>
      <c r="J48" s="14" t="s">
        <v>162</v>
      </c>
      <c r="K48" s="14" t="s">
        <v>33</v>
      </c>
      <c r="L48" s="14" t="s">
        <v>695</v>
      </c>
      <c r="M48" s="14" t="s">
        <v>696</v>
      </c>
      <c r="N48" s="14" t="s">
        <v>697</v>
      </c>
    </row>
    <row r="49" ht="15.75" customHeight="1">
      <c r="A49" s="46" t="s">
        <v>268</v>
      </c>
      <c r="B49" s="46" t="s">
        <v>859</v>
      </c>
      <c r="C49" s="46" t="s">
        <v>691</v>
      </c>
      <c r="D49" s="46" t="s">
        <v>845</v>
      </c>
      <c r="E49" s="46" t="s">
        <v>431</v>
      </c>
      <c r="F49" s="46" t="s">
        <v>864</v>
      </c>
      <c r="G49" s="46" t="s">
        <v>811</v>
      </c>
      <c r="H49" s="46" t="s">
        <v>173</v>
      </c>
      <c r="I49" s="46" t="s">
        <v>863</v>
      </c>
      <c r="J49" s="46" t="s">
        <v>162</v>
      </c>
      <c r="K49" s="46" t="s">
        <v>33</v>
      </c>
      <c r="L49" s="46" t="s">
        <v>695</v>
      </c>
      <c r="M49" s="46" t="s">
        <v>696</v>
      </c>
      <c r="N49" s="46" t="s">
        <v>697</v>
      </c>
    </row>
    <row r="50" ht="15.75" customHeight="1">
      <c r="A50" s="14" t="s">
        <v>268</v>
      </c>
      <c r="B50" s="14" t="s">
        <v>859</v>
      </c>
      <c r="C50" s="14" t="s">
        <v>691</v>
      </c>
      <c r="D50" s="14" t="s">
        <v>849</v>
      </c>
      <c r="E50" s="14" t="s">
        <v>439</v>
      </c>
      <c r="F50" s="14" t="s">
        <v>866</v>
      </c>
      <c r="G50" s="14" t="s">
        <v>811</v>
      </c>
      <c r="H50" s="14" t="s">
        <v>133</v>
      </c>
      <c r="I50" s="14" t="s">
        <v>863</v>
      </c>
      <c r="J50" s="14" t="s">
        <v>162</v>
      </c>
      <c r="K50" s="14" t="s">
        <v>33</v>
      </c>
      <c r="L50" s="14" t="s">
        <v>695</v>
      </c>
      <c r="M50" s="14" t="s">
        <v>696</v>
      </c>
      <c r="N50" s="14" t="s">
        <v>697</v>
      </c>
    </row>
    <row r="51" ht="15.75" customHeight="1">
      <c r="A51" s="46" t="s">
        <v>268</v>
      </c>
      <c r="B51" s="46" t="s">
        <v>859</v>
      </c>
      <c r="C51" s="46" t="s">
        <v>691</v>
      </c>
      <c r="D51" s="46" t="s">
        <v>852</v>
      </c>
      <c r="E51" s="46" t="s">
        <v>446</v>
      </c>
      <c r="F51" s="46" t="s">
        <v>868</v>
      </c>
      <c r="G51" s="46" t="s">
        <v>809</v>
      </c>
      <c r="H51" s="46" t="s">
        <v>356</v>
      </c>
      <c r="I51" s="46" t="s">
        <v>863</v>
      </c>
      <c r="J51" s="46" t="s">
        <v>162</v>
      </c>
      <c r="K51" s="46" t="s">
        <v>33</v>
      </c>
      <c r="L51" s="46" t="s">
        <v>695</v>
      </c>
      <c r="M51" s="46" t="s">
        <v>696</v>
      </c>
      <c r="N51" s="46" t="s">
        <v>697</v>
      </c>
    </row>
    <row r="52" ht="15.75" customHeight="1">
      <c r="A52" s="14" t="s">
        <v>268</v>
      </c>
      <c r="B52" s="14" t="s">
        <v>859</v>
      </c>
      <c r="C52" s="14" t="s">
        <v>691</v>
      </c>
      <c r="D52" s="14" t="s">
        <v>855</v>
      </c>
      <c r="E52" s="14" t="s">
        <v>450</v>
      </c>
      <c r="F52" s="14" t="s">
        <v>870</v>
      </c>
      <c r="G52" s="14" t="s">
        <v>871</v>
      </c>
      <c r="H52" s="14" t="s">
        <v>173</v>
      </c>
      <c r="I52" s="14" t="s">
        <v>863</v>
      </c>
      <c r="J52" s="14" t="s">
        <v>162</v>
      </c>
      <c r="K52" s="14" t="s">
        <v>33</v>
      </c>
      <c r="L52" s="14" t="s">
        <v>695</v>
      </c>
      <c r="M52" s="14" t="s">
        <v>696</v>
      </c>
      <c r="N52" s="14" t="s">
        <v>697</v>
      </c>
    </row>
    <row r="53" ht="15.75" customHeight="1">
      <c r="A53" s="46" t="s">
        <v>268</v>
      </c>
      <c r="B53" s="46" t="s">
        <v>859</v>
      </c>
      <c r="C53" s="46" t="s">
        <v>716</v>
      </c>
      <c r="D53" s="46" t="s">
        <v>862</v>
      </c>
      <c r="E53" s="46" t="s">
        <v>458</v>
      </c>
      <c r="F53" s="46" t="s">
        <v>873</v>
      </c>
      <c r="G53" s="46" t="s">
        <v>874</v>
      </c>
      <c r="H53" s="46" t="s">
        <v>141</v>
      </c>
      <c r="I53" s="46" t="s">
        <v>875</v>
      </c>
      <c r="J53" s="46" t="s">
        <v>162</v>
      </c>
      <c r="K53" s="46" t="s">
        <v>33</v>
      </c>
      <c r="L53" s="46" t="s">
        <v>695</v>
      </c>
      <c r="M53" s="46" t="s">
        <v>696</v>
      </c>
      <c r="N53" s="46" t="s">
        <v>697</v>
      </c>
    </row>
    <row r="54" ht="15.75" customHeight="1">
      <c r="A54" s="14" t="s">
        <v>268</v>
      </c>
      <c r="B54" s="14" t="s">
        <v>859</v>
      </c>
      <c r="C54" s="14" t="s">
        <v>716</v>
      </c>
      <c r="D54" s="14" t="s">
        <v>865</v>
      </c>
      <c r="E54" s="14" t="s">
        <v>463</v>
      </c>
      <c r="F54" s="14" t="s">
        <v>877</v>
      </c>
      <c r="G54" s="14" t="s">
        <v>719</v>
      </c>
      <c r="H54" s="14" t="s">
        <v>465</v>
      </c>
      <c r="I54" s="14" t="s">
        <v>875</v>
      </c>
      <c r="J54" s="14" t="s">
        <v>162</v>
      </c>
      <c r="K54" s="14" t="s">
        <v>33</v>
      </c>
      <c r="L54" s="14" t="s">
        <v>695</v>
      </c>
      <c r="M54" s="14" t="s">
        <v>696</v>
      </c>
      <c r="N54" s="14" t="s">
        <v>697</v>
      </c>
    </row>
    <row r="55" ht="15.75" customHeight="1">
      <c r="A55" s="46" t="s">
        <v>268</v>
      </c>
      <c r="B55" s="46" t="s">
        <v>859</v>
      </c>
      <c r="C55" s="46" t="s">
        <v>716</v>
      </c>
      <c r="D55" s="46" t="s">
        <v>867</v>
      </c>
      <c r="E55" s="46" t="s">
        <v>480</v>
      </c>
      <c r="F55" s="46" t="s">
        <v>879</v>
      </c>
      <c r="G55" s="46" t="s">
        <v>880</v>
      </c>
      <c r="H55" s="46" t="s">
        <v>414</v>
      </c>
      <c r="I55" s="46" t="s">
        <v>875</v>
      </c>
      <c r="J55" s="46" t="s">
        <v>162</v>
      </c>
      <c r="K55" s="46" t="s">
        <v>33</v>
      </c>
      <c r="L55" s="46" t="s">
        <v>695</v>
      </c>
      <c r="M55" s="46" t="s">
        <v>696</v>
      </c>
      <c r="N55" s="46" t="s">
        <v>697</v>
      </c>
    </row>
    <row r="56" ht="15.75" customHeight="1">
      <c r="A56" s="14" t="s">
        <v>268</v>
      </c>
      <c r="B56" s="14" t="s">
        <v>859</v>
      </c>
      <c r="C56" s="14" t="s">
        <v>716</v>
      </c>
      <c r="D56" s="14" t="s">
        <v>869</v>
      </c>
      <c r="E56" s="14" t="s">
        <v>487</v>
      </c>
      <c r="F56" s="14" t="s">
        <v>881</v>
      </c>
      <c r="G56" s="14" t="s">
        <v>811</v>
      </c>
      <c r="H56" s="14" t="s">
        <v>310</v>
      </c>
      <c r="I56" s="14" t="s">
        <v>882</v>
      </c>
      <c r="J56" s="14" t="s">
        <v>162</v>
      </c>
      <c r="K56" s="14" t="s">
        <v>33</v>
      </c>
      <c r="L56" s="14" t="s">
        <v>695</v>
      </c>
      <c r="M56" s="14" t="s">
        <v>696</v>
      </c>
      <c r="N56" s="14" t="s">
        <v>697</v>
      </c>
    </row>
    <row r="57" ht="15.75" customHeight="1">
      <c r="A57" s="46" t="s">
        <v>295</v>
      </c>
      <c r="B57" s="46" t="s">
        <v>884</v>
      </c>
      <c r="C57" s="46" t="s">
        <v>691</v>
      </c>
      <c r="D57" s="46" t="s">
        <v>872</v>
      </c>
      <c r="E57" s="46" t="s">
        <v>493</v>
      </c>
      <c r="F57" s="46" t="s">
        <v>885</v>
      </c>
      <c r="G57" s="46" t="s">
        <v>886</v>
      </c>
      <c r="H57" s="46" t="s">
        <v>494</v>
      </c>
      <c r="I57" s="46" t="s">
        <v>887</v>
      </c>
      <c r="J57" s="46" t="s">
        <v>162</v>
      </c>
      <c r="K57" s="46" t="s">
        <v>33</v>
      </c>
      <c r="L57" s="46" t="s">
        <v>695</v>
      </c>
      <c r="M57" s="46" t="s">
        <v>696</v>
      </c>
      <c r="N57" s="46" t="s">
        <v>697</v>
      </c>
    </row>
    <row r="58" ht="15.75" customHeight="1">
      <c r="A58" s="14" t="s">
        <v>295</v>
      </c>
      <c r="B58" s="14" t="s">
        <v>884</v>
      </c>
      <c r="C58" s="14" t="s">
        <v>691</v>
      </c>
      <c r="D58" s="14" t="s">
        <v>876</v>
      </c>
      <c r="E58" s="14" t="s">
        <v>500</v>
      </c>
      <c r="F58" s="14" t="s">
        <v>888</v>
      </c>
      <c r="G58" s="14" t="s">
        <v>886</v>
      </c>
      <c r="H58" s="14" t="s">
        <v>494</v>
      </c>
      <c r="I58" s="14" t="s">
        <v>887</v>
      </c>
      <c r="J58" s="14" t="s">
        <v>162</v>
      </c>
      <c r="K58" s="14" t="s">
        <v>33</v>
      </c>
      <c r="L58" s="14" t="s">
        <v>695</v>
      </c>
      <c r="M58" s="14" t="s">
        <v>696</v>
      </c>
      <c r="N58" s="14" t="s">
        <v>697</v>
      </c>
    </row>
    <row r="59" ht="15.75" customHeight="1">
      <c r="A59" s="46" t="s">
        <v>295</v>
      </c>
      <c r="B59" s="46" t="s">
        <v>884</v>
      </c>
      <c r="C59" s="46" t="s">
        <v>691</v>
      </c>
      <c r="D59" s="46" t="s">
        <v>878</v>
      </c>
      <c r="E59" s="46" t="s">
        <v>504</v>
      </c>
      <c r="F59" s="46" t="s">
        <v>890</v>
      </c>
      <c r="G59" s="46" t="s">
        <v>886</v>
      </c>
      <c r="H59" s="46" t="s">
        <v>494</v>
      </c>
      <c r="I59" s="46" t="s">
        <v>887</v>
      </c>
      <c r="J59" s="46" t="s">
        <v>162</v>
      </c>
      <c r="K59" s="46" t="s">
        <v>33</v>
      </c>
      <c r="L59" s="46" t="s">
        <v>695</v>
      </c>
      <c r="M59" s="46" t="s">
        <v>696</v>
      </c>
      <c r="N59" s="46" t="s">
        <v>697</v>
      </c>
    </row>
    <row r="60" ht="15.75" customHeight="1">
      <c r="A60" s="14" t="s">
        <v>295</v>
      </c>
      <c r="B60" s="14" t="s">
        <v>884</v>
      </c>
      <c r="C60" s="14" t="s">
        <v>691</v>
      </c>
      <c r="D60" s="14" t="s">
        <v>883</v>
      </c>
      <c r="E60" s="14" t="s">
        <v>510</v>
      </c>
      <c r="F60" s="14" t="s">
        <v>892</v>
      </c>
      <c r="G60" s="14" t="s">
        <v>886</v>
      </c>
      <c r="H60" s="14" t="s">
        <v>494</v>
      </c>
      <c r="I60" s="14" t="s">
        <v>887</v>
      </c>
      <c r="J60" s="14" t="s">
        <v>162</v>
      </c>
      <c r="K60" s="14" t="s">
        <v>33</v>
      </c>
      <c r="L60" s="14" t="s">
        <v>695</v>
      </c>
      <c r="M60" s="14" t="s">
        <v>696</v>
      </c>
      <c r="N60" s="14" t="s">
        <v>697</v>
      </c>
    </row>
    <row r="61" ht="15.75" customHeight="1">
      <c r="A61" s="46" t="s">
        <v>295</v>
      </c>
      <c r="B61" s="46" t="s">
        <v>884</v>
      </c>
      <c r="C61" s="46" t="s">
        <v>716</v>
      </c>
      <c r="D61" s="46" t="s">
        <v>889</v>
      </c>
      <c r="E61" s="46" t="s">
        <v>514</v>
      </c>
      <c r="F61" s="46" t="s">
        <v>893</v>
      </c>
      <c r="G61" s="46" t="s">
        <v>895</v>
      </c>
      <c r="H61" s="46" t="s">
        <v>515</v>
      </c>
      <c r="I61" s="46" t="s">
        <v>829</v>
      </c>
      <c r="J61" s="46" t="s">
        <v>232</v>
      </c>
      <c r="K61" s="46" t="s">
        <v>33</v>
      </c>
      <c r="L61" s="46" t="s">
        <v>695</v>
      </c>
      <c r="M61" s="46" t="s">
        <v>696</v>
      </c>
      <c r="N61" s="46" t="s">
        <v>697</v>
      </c>
    </row>
    <row r="62" ht="15.75" customHeight="1">
      <c r="A62" s="14" t="s">
        <v>295</v>
      </c>
      <c r="B62" s="14" t="s">
        <v>884</v>
      </c>
      <c r="C62" s="14" t="s">
        <v>716</v>
      </c>
      <c r="D62" s="14" t="s">
        <v>891</v>
      </c>
      <c r="E62" s="14" t="s">
        <v>528</v>
      </c>
      <c r="F62" s="14" t="s">
        <v>896</v>
      </c>
      <c r="G62" s="14" t="s">
        <v>895</v>
      </c>
      <c r="H62" s="14" t="s">
        <v>530</v>
      </c>
      <c r="I62" s="14" t="s">
        <v>829</v>
      </c>
      <c r="J62" s="14" t="s">
        <v>232</v>
      </c>
      <c r="K62" s="14" t="s">
        <v>33</v>
      </c>
      <c r="L62" s="14" t="s">
        <v>695</v>
      </c>
      <c r="M62" s="14" t="s">
        <v>696</v>
      </c>
      <c r="N62" s="14" t="s">
        <v>697</v>
      </c>
    </row>
    <row r="63" ht="15.75" customHeight="1">
      <c r="A63" s="46" t="s">
        <v>295</v>
      </c>
      <c r="B63" s="46" t="s">
        <v>884</v>
      </c>
      <c r="C63" s="46" t="s">
        <v>716</v>
      </c>
      <c r="D63" s="46" t="s">
        <v>894</v>
      </c>
      <c r="E63" s="46" t="s">
        <v>531</v>
      </c>
      <c r="F63" s="46" t="s">
        <v>898</v>
      </c>
      <c r="G63" s="46" t="s">
        <v>899</v>
      </c>
      <c r="H63" s="46" t="s">
        <v>534</v>
      </c>
      <c r="I63" s="46" t="s">
        <v>539</v>
      </c>
      <c r="J63" s="46" t="s">
        <v>232</v>
      </c>
      <c r="K63" s="46" t="s">
        <v>33</v>
      </c>
      <c r="L63" s="46" t="s">
        <v>695</v>
      </c>
      <c r="M63" s="46" t="s">
        <v>696</v>
      </c>
      <c r="N63" s="46" t="s">
        <v>697</v>
      </c>
    </row>
    <row r="64" ht="15.75" customHeight="1">
      <c r="A64" s="14" t="s">
        <v>295</v>
      </c>
      <c r="B64" s="14" t="s">
        <v>884</v>
      </c>
      <c r="C64" s="14" t="s">
        <v>716</v>
      </c>
      <c r="D64" s="14" t="s">
        <v>897</v>
      </c>
      <c r="E64" s="14" t="s">
        <v>546</v>
      </c>
      <c r="F64" s="14" t="s">
        <v>900</v>
      </c>
      <c r="G64" s="14" t="s">
        <v>901</v>
      </c>
      <c r="H64" s="14" t="s">
        <v>173</v>
      </c>
      <c r="I64" s="14" t="s">
        <v>902</v>
      </c>
      <c r="J64" s="14" t="s">
        <v>162</v>
      </c>
      <c r="K64" s="14" t="s">
        <v>33</v>
      </c>
      <c r="L64" s="14" t="s">
        <v>695</v>
      </c>
      <c r="M64" s="14" t="s">
        <v>696</v>
      </c>
      <c r="N64" s="14" t="s">
        <v>697</v>
      </c>
    </row>
    <row r="65" ht="15.75" customHeight="1">
      <c r="A65" s="46" t="s">
        <v>295</v>
      </c>
      <c r="B65" s="46" t="s">
        <v>884</v>
      </c>
      <c r="C65" s="46" t="s">
        <v>716</v>
      </c>
      <c r="D65" s="46" t="s">
        <v>903</v>
      </c>
      <c r="E65" s="46" t="s">
        <v>557</v>
      </c>
      <c r="F65" s="46" t="s">
        <v>904</v>
      </c>
      <c r="G65" s="46" t="s">
        <v>905</v>
      </c>
      <c r="H65" s="46" t="s">
        <v>160</v>
      </c>
      <c r="I65" s="46" t="s">
        <v>906</v>
      </c>
      <c r="J65" s="46" t="s">
        <v>162</v>
      </c>
      <c r="K65" s="46" t="s">
        <v>33</v>
      </c>
      <c r="L65" s="46" t="s">
        <v>695</v>
      </c>
      <c r="M65" s="46" t="s">
        <v>696</v>
      </c>
      <c r="N65" s="46" t="s">
        <v>697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