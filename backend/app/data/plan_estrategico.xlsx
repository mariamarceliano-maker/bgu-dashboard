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Nuevo - Reporte 2025 -" sheetId="1" r:id="rId5"/>
    <sheet state="hidden" name="CRUCE GENERAL" sheetId="2" r:id="rId6"/>
    <sheet state="visible" name="CRUCE GENERAL PLANES" sheetId="3" r:id="rId7"/>
    <sheet state="visible" name="LISTA KPIS" sheetId="4" r:id="rId8"/>
    <sheet state="hidden" name="Hoja 5" sheetId="5" r:id="rId9"/>
    <sheet state="hidden" name="Seguimiento Estratégico 2025 - " sheetId="6" r:id="rId10"/>
    <sheet state="hidden" name="Seguimiento Estratégico 2024 - " sheetId="7" r:id="rId11"/>
    <sheet state="hidden" name="Hoja 3" sheetId="8" r:id="rId12"/>
    <sheet state="hidden" name="ACTAS" sheetId="9" r:id="rId13"/>
  </sheets>
  <definedNames>
    <definedName hidden="1" localSheetId="5" name="Z_1FE4C4A1_1FC5_4135_BD8C_DB599C832FF4_.wvu.FilterData">'Seguimiento Estratégico 2025 - '!$A$1:$L$131</definedName>
    <definedName hidden="1" localSheetId="5" name="Z_30D3C33A_139E_45F3_B06B_CF893E6A0EC5_.wvu.FilterData">'Seguimiento Estratégico 2025 - '!$A$1:$L$131</definedName>
  </definedNames>
  <calcPr/>
  <customWorkbookViews>
    <customWorkbookView activeSheetId="0" maximized="1" windowHeight="0" windowWidth="0" guid="{1FE4C4A1-1FC5-4135-BD8C-DB599C832FF4}" name="Filtro 1"/>
    <customWorkbookView activeSheetId="0" maximized="1" windowHeight="0" windowWidth="0" guid="{30D3C33A-139E-45F3-B06B-CF893E6A0EC5}" name="Mark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tc={6b04105a-c82b-4a6d-a23c-0b9cb81d97db}</author>
    <author>tc={79a79b52-552d-40a3-9749-f1117662a966}</author>
    <author>tc={d6b49070-18ba-4962-84a3-82f0c5d68390}</author>
    <author>tc={f59c9c07-448a-4f1e-aaad-e5bf842dc62a}</author>
  </authors>
  <commentList>
    <comment authorId="0" ref="D20">
      <text>
        <t xml:space="preserve">Convenio para generar mayor ingresos</t>
      </text>
    </comment>
    <comment authorId="0" ref="D19">
      <text>
        <t xml:space="preserve">PRME, FAPSC, AACRAO, GAN, IBEQA, etc</t>
      </text>
    </comment>
    <comment authorId="0" ref="M10">
      <text>
        <t xml:space="preserve">62 docentes del faculty Roster, es decir el 100%, cuentan con evaluación de credenciales </t>
      </text>
    </comment>
    <comment authorId="0" ref="M8">
      <text>
        <t xml:space="preserve">Se tienen en registro 3 capacitaciones programadas que fueron cumplidas </t>
      </text>
    </comment>
    <comment authorId="0" ref="Q2">
      <text>
        <t xml:space="preserve">Este espacio se llenará el 
17/07/2026 </t>
      </text>
    </comment>
    <comment authorId="1" xr:uid="{6b04105a-c82b-4a6d-a23c-0b9cb81d97db}" ref="M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obtener el porcentaje
</t>
      </text>
    </comment>
    <comment authorId="2" xr:uid="{79a79b52-552d-40a3-9749-f1117662a966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parcialmente
</t>
      </text>
    </comment>
    <comment authorId="3" xr:uid="{d6b49070-18ba-4962-84a3-82f0c5d68390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10 % de participación y solo PRME
</t>
      </text>
    </comment>
    <comment authorId="4" xr:uid="{f59c9c07-448a-4f1e-aaad-e5bf842dc62a}" ref="M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¿Qué porcentaje de nuestra comunidad participó al menos una vez durante el año?
Cobertura de participación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0">
      <text>
        <t xml:space="preserve">Faculty activo con al menos una actividad académica o profesional verificable durante el periodo.</t>
      </text>
    </comment>
    <comment authorId="0" ref="N57">
      <text>
        <t xml:space="preserve">Faculty activo con al menos una actividad académica o profesional verificable durante el periodo.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9">
      <text>
        <t xml:space="preserve">Faculty activo con al menos una actividad académica o profesional verificable durante el periodo.</t>
      </text>
    </comment>
  </commentList>
</comments>
</file>

<file path=xl/sharedStrings.xml><?xml version="1.0" encoding="utf-8"?>
<sst xmlns="http://schemas.openxmlformats.org/spreadsheetml/2006/main" count="3071" uniqueCount="1172">
  <si>
    <t>PLAN ESTRATÉGICO 2023 - 2028
EVALUACIÓN DE RESULTADOS 2025 - 2026
01 de septiembre del 2025 - 31 de agosto del 2026</t>
  </si>
  <si>
    <t>Dimensión</t>
  </si>
  <si>
    <t>2025 - 2026</t>
  </si>
  <si>
    <t>Objetivo</t>
  </si>
  <si>
    <t>Código</t>
  </si>
  <si>
    <t>2026 - 2027 SP</t>
  </si>
  <si>
    <t>Indicador</t>
  </si>
  <si>
    <t>Código del Plan de Efectividad</t>
  </si>
  <si>
    <t>E1-I01</t>
  </si>
  <si>
    <t>PLAN ESTRATÉGICO</t>
  </si>
  <si>
    <t>2023-24</t>
  </si>
  <si>
    <t>2024-25</t>
  </si>
  <si>
    <r>
      <rPr>
        <rFont val="Calibri"/>
        <b/>
        <color theme="1"/>
        <sz val="11.0"/>
      </rPr>
      <t>Oferta efectiva de programas:</t>
    </r>
    <r>
      <rPr>
        <rFont val="Calibri"/>
        <color theme="1"/>
        <sz val="11.0"/>
      </rPr>
      <t xml:space="preserve"> Proporcion de programas autorizados que se encuentran activos, admiten estudiantes y cuentan con capacidad academica y operativa</t>
    </r>
  </si>
  <si>
    <t>Meta 2025-26</t>
  </si>
  <si>
    <t>Plan de Efectividad</t>
  </si>
  <si>
    <t>Meta 2026-27</t>
  </si>
  <si>
    <t xml:space="preserve">Programas activos / 
programas autorizados x 
100
</t>
  </si>
  <si>
    <t>Meta 2027-28</t>
  </si>
  <si>
    <t xml:space="preserve">&gt;=59%
</t>
  </si>
  <si>
    <t>Fuente / owner</t>
  </si>
  <si>
    <t>Código del Plan Estratégico</t>
  </si>
  <si>
    <t>Responsable</t>
  </si>
  <si>
    <t>Resultado
2025 - 2026</t>
  </si>
  <si>
    <t>Meta</t>
  </si>
  <si>
    <t>Evidencia</t>
  </si>
  <si>
    <t>KPI y alcance</t>
  </si>
  <si>
    <t>Estado</t>
  </si>
  <si>
    <t>E1-S02</t>
  </si>
  <si>
    <t>Fórmula</t>
  </si>
  <si>
    <r>
      <rPr>
        <rFont val="Calibri"/>
        <b/>
        <color theme="1"/>
        <sz val="11.0"/>
      </rPr>
      <t>Diversidad geografica del  alumnado:</t>
    </r>
    <r>
      <rPr>
        <rFont val="Calibri"/>
        <color theme="1"/>
        <sz val="11.0"/>
      </rPr>
      <t xml:space="preserve"> Cobertura internacional real de la matricula activa</t>
    </r>
  </si>
  <si>
    <t xml:space="preserve">Conteo distinto de países 
de residencia de 
estudiantes activos
</t>
  </si>
  <si>
    <t xml:space="preserve">&gt;=20 países
</t>
  </si>
  <si>
    <t>#</t>
  </si>
  <si>
    <t>Decisión</t>
  </si>
  <si>
    <t>Medida</t>
  </si>
  <si>
    <t>Portafolio académico</t>
  </si>
  <si>
    <t>Tipo</t>
  </si>
  <si>
    <t>Alineación de IO</t>
  </si>
  <si>
    <t>E1-K1</t>
  </si>
  <si>
    <t>E2-S02</t>
  </si>
  <si>
    <r>
      <rPr>
        <rFont val="Calibri"/>
        <b/>
        <color theme="1"/>
        <sz val="11.0"/>
      </rPr>
      <t xml:space="preserve">Permanencia docente: </t>
    </r>
    <r>
      <rPr>
        <rFont val="Calibri"/>
        <color theme="1"/>
        <sz val="11.0"/>
      </rPr>
      <t>Continuidad del faculty  elegible de un periodo academico al siguiente.</t>
    </r>
  </si>
  <si>
    <t xml:space="preserve">Establecer una comunidad de aprendizaje diversa y global, mediante programas académicos y educación continua en diversos idiomas. </t>
  </si>
  <si>
    <t>Programas autorizados</t>
  </si>
  <si>
    <t xml:space="preserve">Faculty que continua / 
faculty elegible inicial x 
100
</t>
  </si>
  <si>
    <t>E1-O01</t>
  </si>
  <si>
    <t xml:space="preserve">&gt;=85%
</t>
  </si>
  <si>
    <t>N° KPI</t>
  </si>
  <si>
    <t>E3-O01</t>
  </si>
  <si>
    <t xml:space="preserve">SE PUEDE RELACIONAR PERO TIENEN DISTINTA META </t>
  </si>
  <si>
    <r>
      <rPr>
        <rFont val="Calibri"/>
        <b/>
        <color theme="1"/>
        <sz val="11.0"/>
      </rPr>
      <t>Resolucion en primer contacto:</t>
    </r>
    <r>
      <rPr>
        <rFont val="Calibri"/>
        <color theme="1"/>
        <sz val="11.0"/>
      </rPr>
      <t xml:space="preserve"> Casos resueltos sin  escalamiento ni  reapertura dentro del periodo de control.</t>
    </r>
  </si>
  <si>
    <t xml:space="preserve">Casos resueltos en primer 
contacto / casos cerrados 
x 100
</t>
  </si>
  <si>
    <t xml:space="preserve">&gt;=70%
</t>
  </si>
  <si>
    <r>
      <rPr>
        <rFont val="Calibri"/>
        <b/>
        <color theme="1"/>
        <sz val="11.0"/>
      </rPr>
      <t>Oferta efectiva de programas:</t>
    </r>
    <r>
      <rPr>
        <rFont val="Calibri"/>
        <color theme="1"/>
        <sz val="11.0"/>
      </rPr>
      <t xml:space="preserve"> Proporcion de programas autorizados que se encuentran activos, admiten estudiantes y cuentan con capacidad academica y operativa</t>
    </r>
  </si>
  <si>
    <t>5*</t>
  </si>
  <si>
    <t>E3-O02</t>
  </si>
  <si>
    <t>D-01</t>
  </si>
  <si>
    <r>
      <rPr>
        <rFont val="Calibri"/>
        <b/>
        <color theme="1"/>
        <sz val="11.0"/>
      </rPr>
      <t>Tiempo medio de respuesta:</t>
    </r>
    <r>
      <rPr>
        <rFont val="Calibri"/>
        <color theme="1"/>
        <sz val="11.0"/>
      </rPr>
      <t xml:space="preserve"> Tiempo promedio transcurrido entre la recepcion de una solicitud y la primera respuesta util
</t>
    </r>
  </si>
  <si>
    <t xml:space="preserve">Suma de horas hasta 
primera respuesta / 
solicitudes atendidas
</t>
  </si>
  <si>
    <t>Puntuaciones de la rúbrica de Student Learning Outcome (SLO) a nivel de programa</t>
  </si>
  <si>
    <t xml:space="preserve">&lt;=6 horas
</t>
  </si>
  <si>
    <t>4 horas</t>
  </si>
  <si>
    <t>Directa</t>
  </si>
  <si>
    <t>≥80% competente por cada SLO.</t>
  </si>
  <si>
    <t>E4-S01</t>
  </si>
  <si>
    <t>CIE / Academic Affairs</t>
  </si>
  <si>
    <t>E1-K2</t>
  </si>
  <si>
    <r>
      <rPr>
        <rFont val="Calibri"/>
        <b/>
        <color theme="1"/>
        <sz val="11.0"/>
      </rPr>
      <t>Disponibilidad de sistemas criticos (Uptime):</t>
    </r>
    <r>
      <rPr>
        <rFont val="Calibri"/>
        <color theme="1"/>
        <sz val="11.0"/>
      </rPr>
      <t xml:space="preserve"> Continuidad del servicio en LMS, SIS y otros sistemas definidos como criticos.</t>
    </r>
  </si>
  <si>
    <t xml:space="preserve">Horas disponibles / horas 
programadas x 100
</t>
  </si>
  <si>
    <t>Ronald</t>
  </si>
  <si>
    <t>Oferta efectiva de
programas</t>
  </si>
  <si>
    <t xml:space="preserve">&gt;=99.9%
</t>
  </si>
  <si>
    <t>99.95%</t>
  </si>
  <si>
    <t>11 programas</t>
  </si>
  <si>
    <t>E7-O01</t>
  </si>
  <si>
    <t>12499Approved Data (1).pdf</t>
  </si>
  <si>
    <t>E1-I02</t>
  </si>
  <si>
    <r>
      <rPr>
        <rFont val="Calibri"/>
        <b/>
        <color theme="1"/>
        <sz val="11.0"/>
      </rPr>
      <t>Fondos destinados a becas y subsidios:</t>
    </r>
    <r>
      <rPr>
        <rFont val="Calibri"/>
        <color theme="1"/>
        <sz val="11.0"/>
      </rPr>
      <t xml:space="preserve"> Valor total de ayuda reconocida durante el periodo, con metodologia financiera documentada.</t>
    </r>
  </si>
  <si>
    <t>Suma validada de ayudas 
otorgadas; separar 
efectivo, descuento y 
exoneracion</t>
  </si>
  <si>
    <t>USD 3.6 M</t>
  </si>
  <si>
    <r>
      <rPr>
        <rFont val="Calibri"/>
        <b/>
        <color theme="1"/>
        <sz val="11.0"/>
      </rPr>
      <t>Retention Rate estudiantil:</t>
    </r>
    <r>
      <rPr>
        <rFont val="Calibri"/>
        <color theme="1"/>
        <sz val="11.0"/>
      </rPr>
      <t xml:space="preserve"> Persistencia de  estudiantes elegibles de un periodo al siguiente;  debe calcularse por cohorte, nivel y programa.</t>
    </r>
  </si>
  <si>
    <t>USD 3.8M</t>
  </si>
  <si>
    <t>STRATEGIC PLAN</t>
  </si>
  <si>
    <t xml:space="preserve">Estudiantes que continúan 
/ estudiantes elegibles del 
periodo base x 100
</t>
  </si>
  <si>
    <t xml:space="preserve">&gt;=85%
</t>
  </si>
  <si>
    <t>D-02</t>
  </si>
  <si>
    <t xml:space="preserve">E7-O0
</t>
  </si>
  <si>
    <t>Evaluación de competencias de educación general (General Education) (rúbricas institucionales)</t>
  </si>
  <si>
    <r>
      <rPr>
        <rFont val="Calibri"/>
        <b/>
        <color theme="1"/>
        <sz val="11.0"/>
      </rPr>
      <t>Fondos recibidos de donantes:</t>
    </r>
    <r>
      <rPr>
        <rFont val="Calibri"/>
        <color theme="1"/>
        <sz val="11.0"/>
      </rPr>
      <t xml:space="preserve"> Recursos efectivamente recibidos de terceros para apoyar acceso, becas o iniciativas estudiantiles.</t>
    </r>
  </si>
  <si>
    <t xml:space="preserve">EFFECTIVENESS PLAN </t>
  </si>
  <si>
    <t>≥80% competente por cada competencia de educación general.</t>
  </si>
  <si>
    <t>Suma de ingresos 
recibidos y conciliados</t>
  </si>
  <si>
    <t>ASSESSMENT PLAN</t>
  </si>
  <si>
    <t>USD 0.2 M</t>
  </si>
  <si>
    <t>E1-K3</t>
  </si>
  <si>
    <t>USD 0.3M</t>
  </si>
  <si>
    <t>Países representados</t>
  </si>
  <si>
    <t>E1-I02, E1-I03, E1-S02</t>
  </si>
  <si>
    <r>
      <rPr>
        <rFont val="Calibri"/>
        <b/>
        <color theme="1"/>
        <sz val="11.0"/>
      </rPr>
      <t>Retention Rate estudiantil:</t>
    </r>
    <r>
      <rPr>
        <rFont val="Calibri"/>
        <color theme="1"/>
        <sz val="11.0"/>
      </rPr>
      <t xml:space="preserve"> Persistencia de  estudiantes elegibles de un periodo al siguiente;  debe calcularse por cohorte, nivel y programa.</t>
    </r>
  </si>
  <si>
    <t>E1-I03</t>
  </si>
  <si>
    <t>-</t>
  </si>
  <si>
    <r>
      <rPr>
        <rFont val="Calibri"/>
        <b/>
        <color theme="1"/>
        <sz val="11.0"/>
      </rPr>
      <t>Graduation Rate:</t>
    </r>
    <r>
      <rPr>
        <rFont val="Calibri"/>
        <color theme="1"/>
        <sz val="11.0"/>
      </rPr>
      <t xml:space="preserve"> Graduacion dentro de la  ventana institucional de  reporte, desagregada por  nivel y cohorte madura.</t>
    </r>
  </si>
  <si>
    <t>E4-K3</t>
  </si>
  <si>
    <t xml:space="preserve">Graduados de la cohorte / 
estudiantes de la cohorte 
ajustada x 100
</t>
  </si>
  <si>
    <t>Procesos automatizados
acumulados</t>
  </si>
  <si>
    <t xml:space="preserve">&gt;=70%
</t>
  </si>
  <si>
    <t>D-03</t>
  </si>
  <si>
    <r>
      <rPr>
        <rFont val="Calibri"/>
        <b/>
        <color theme="1"/>
        <sz val="11.0"/>
      </rPr>
      <t>Graduation Rate:</t>
    </r>
    <r>
      <rPr>
        <rFont val="Calibri"/>
        <color theme="1"/>
        <sz val="11.0"/>
      </rPr>
      <t xml:space="preserve"> Graduacion dentro de la  ventana institucional de  reporte, desagregada por  nivel y cohorte madura.</t>
    </r>
  </si>
  <si>
    <t>E4-O01</t>
  </si>
  <si>
    <t>Calificaciones de evaluación del capstone/tesis de fin de carrera</t>
  </si>
  <si>
    <r>
      <rPr>
        <rFont val="Carlito"/>
        <b/>
        <color theme="1"/>
      </rPr>
      <t xml:space="preserve">Optimizacion de procesos: </t>
    </r>
    <r>
      <rPr>
        <rFont val="Carlito"/>
        <color theme="1"/>
      </rPr>
      <t>Procesos institucionales automatizados o redisenados y puestos en produccion durante el periodo.</t>
    </r>
  </si>
  <si>
    <t>≥80% de los estudiantes evaluados obtiene “competente” o “ejemplar” en la rúbrica final.</t>
  </si>
  <si>
    <t>E1-K4</t>
  </si>
  <si>
    <t xml:space="preserve">Conteo de procesos 
implementados y 
validados
</t>
  </si>
  <si>
    <r>
      <rPr>
        <rFont val="Carlito"/>
        <b/>
        <color theme="1"/>
        <sz val="11.0"/>
      </rPr>
      <t xml:space="preserve">Optimizacion de procesos: </t>
    </r>
    <r>
      <rPr>
        <rFont val="Carlito"/>
        <color theme="1"/>
        <sz val="11.0"/>
      </rPr>
      <t>Procesos institucionales automatizados o redisenados y puestos en produccion durante el periodo.</t>
    </r>
  </si>
  <si>
    <t>Pertinencia curricular (1-5)</t>
  </si>
  <si>
    <t>E1-S01</t>
  </si>
  <si>
    <t>4.0</t>
  </si>
  <si>
    <t>&gt;=5 nuevos por año</t>
  </si>
  <si>
    <t>Cumplido</t>
  </si>
  <si>
    <r>
      <rPr>
        <rFont val="Calibri"/>
        <b/>
        <color theme="1"/>
        <sz val="11.0"/>
      </rPr>
      <t xml:space="preserve">Pertinencia curricular internacional: </t>
    </r>
    <r>
      <rPr>
        <rFont val="Calibri"/>
        <color theme="1"/>
        <sz val="11.0"/>
      </rPr>
      <t>Alineacion de los programas con demanda,  regulacion, recomendaciones de  advisory councils y resultados de aprendizaje</t>
    </r>
  </si>
  <si>
    <t xml:space="preserve">Promedio de rubrica 
institucional de pertinencia 
(1-5)
</t>
  </si>
  <si>
    <t>E6-I01</t>
  </si>
  <si>
    <t xml:space="preserve">&gt;=4/5
</t>
  </si>
  <si>
    <r>
      <rPr>
        <rFont val="Carlito"/>
        <color theme="1"/>
        <sz val="11.0"/>
      </rPr>
      <t>"</t>
    </r>
    <r>
      <rPr>
        <rFont val="Carlito"/>
        <b/>
        <color theme="1"/>
        <sz val="11.0"/>
      </rPr>
      <t xml:space="preserve">Sentido de pertenencia: </t>
    </r>
    <r>
      <rPr>
        <rFont val="Carlito"/>
        <color theme="1"/>
        <sz val="11.0"/>
      </rPr>
      <t>Percepcion de estudiantes, faculty y staff sobre identificacion, inclusion y vinculacion con la comunidad BGU.
"</t>
    </r>
  </si>
  <si>
    <t>D-04</t>
  </si>
  <si>
    <t xml:space="preserve">Respuestas favorables / 
respuestas validas x 100
</t>
  </si>
  <si>
    <t>Evaluaciones de muestras de redacción</t>
  </si>
  <si>
    <t>&gt;=85%</t>
  </si>
  <si>
    <t>≥80% alcanza nivel 3 o superior en la rúbrica, o una calificación equivalente de 80/100 o más.</t>
  </si>
  <si>
    <t>E2-K1</t>
  </si>
  <si>
    <t>Evaluación docente (1-5)</t>
  </si>
  <si>
    <t xml:space="preserve">E2-I01
</t>
  </si>
  <si>
    <t xml:space="preserve">E2-S01
</t>
  </si>
  <si>
    <r>
      <rPr>
        <rFont val="Calibri"/>
        <b/>
        <color theme="1"/>
        <sz val="11.0"/>
      </rPr>
      <t>Actualizacion pedagogica:</t>
    </r>
    <r>
      <rPr>
        <rFont val="Calibri"/>
        <color theme="1"/>
        <sz val="11.0"/>
      </rPr>
      <t xml:space="preserve"> Participacion del faculty activo en el plan anual de desarrollo docente.</t>
    </r>
  </si>
  <si>
    <t xml:space="preserve">Faculty que completa el 
plan / faculty activo x 100
</t>
  </si>
  <si>
    <t>50%*</t>
  </si>
  <si>
    <t>E6-K1</t>
  </si>
  <si>
    <r>
      <rPr>
        <rFont val="Calibri"/>
        <b/>
        <color theme="1"/>
        <sz val="11.0"/>
      </rPr>
      <t>Diversidad geografica del  alumnado:</t>
    </r>
    <r>
      <rPr>
        <rFont val="Calibri"/>
        <color theme="1"/>
        <sz val="11.0"/>
      </rPr>
      <t xml:space="preserve"> Cobertura internacional real de la matricula activa</t>
    </r>
  </si>
  <si>
    <t>Índice de pertenencia e
inclusión</t>
  </si>
  <si>
    <t>E4-I01</t>
  </si>
  <si>
    <r>
      <rPr>
        <rFont val="Calibri"/>
        <b/>
        <color theme="1"/>
        <sz val="11.0"/>
      </rPr>
      <t>Satisfaccion general con plataformas LMS/SIS:</t>
    </r>
    <r>
      <rPr>
        <rFont val="Calibri"/>
        <color theme="1"/>
        <sz val="11.0"/>
      </rPr>
      <t xml:space="preserve"> Valoracion de usabilidad, fiabilidad y experiencia del entorno tecnologico.</t>
    </r>
  </si>
  <si>
    <t>D-05</t>
  </si>
  <si>
    <t xml:space="preserve">Promedio de encuesta 
institucional (1-5)
</t>
  </si>
  <si>
    <t>Puntuaciones de revisión del portafolio electrónico</t>
  </si>
  <si>
    <r>
      <rPr>
        <rFont val="Carlito"/>
        <color theme="1"/>
      </rPr>
      <t>"</t>
    </r>
    <r>
      <rPr>
        <rFont val="Carlito"/>
        <b/>
        <color theme="1"/>
      </rPr>
      <t xml:space="preserve">Sentido de pertenencia: </t>
    </r>
    <r>
      <rPr>
        <rFont val="Carlito"/>
        <color theme="1"/>
      </rPr>
      <t>Percepcion de estudiantes, faculty y staff sobre identificacion, inclusion y vinculacion con la comunidad BGU.
"</t>
    </r>
  </si>
  <si>
    <t>≥80% de los portafolios evaluados demuestra competencia, integración y progresión del aprendizaje.</t>
  </si>
  <si>
    <t>Catálogo / SIS</t>
  </si>
  <si>
    <t xml:space="preserve">E5-I01
</t>
  </si>
  <si>
    <r>
      <rPr>
        <rFont val="Calibri"/>
        <b/>
        <color theme="1"/>
        <sz val="11.0"/>
      </rPr>
      <t>Placement Rate:</t>
    </r>
    <r>
      <rPr>
        <rFont val="Calibri"/>
        <color theme="1"/>
        <sz val="11.0"/>
      </rPr>
      <t xml:space="preserve"> Graduados elegibles que reportan empleo, mejora laboral, emprendimiento o continuidad academica dentro de la ventana definida.</t>
    </r>
  </si>
  <si>
    <t xml:space="preserve">Graduados con resultado 
favorable / graduados 
elegibles localizados x 
100
</t>
  </si>
  <si>
    <t>E7-I01</t>
  </si>
  <si>
    <t>E2-K2</t>
  </si>
  <si>
    <r>
      <rPr>
        <rFont val="Calibri"/>
        <b/>
        <color theme="1"/>
        <sz val="11.0"/>
      </rPr>
      <t xml:space="preserve">Persistencia de beneficiarios de apoyo: </t>
    </r>
    <r>
      <rPr>
        <rFont val="Calibri"/>
        <color theme="1"/>
        <sz val="11.0"/>
      </rPr>
      <t>Continuidad academica de estudiantes que reciben becas, subsidios u otra ayuda institucional.</t>
    </r>
  </si>
  <si>
    <t>Faculty capacitado</t>
  </si>
  <si>
    <t xml:space="preserve">Beneficiarios que 
continuan / beneficiarios 
elegibles iniciales x 100
</t>
  </si>
  <si>
    <t>Catálogo BGU
12499Approved Data (1).pdf</t>
  </si>
  <si>
    <t>E3-S02</t>
  </si>
  <si>
    <r>
      <rPr>
        <rFont val="Calibri"/>
        <b/>
        <color theme="1"/>
        <sz val="11.0"/>
      </rPr>
      <t>Capacitacion administrativa:</t>
    </r>
    <r>
      <rPr>
        <rFont val="Calibri"/>
        <color theme="1"/>
        <sz val="11.0"/>
      </rPr>
      <t xml:space="preserve"> Cumplimiento del plan anual de capacitacion del staff.</t>
    </r>
  </si>
  <si>
    <t xml:space="preserve">Staff que completa 
capacitación / staff activo 
x 100
</t>
  </si>
  <si>
    <r>
      <rPr>
        <rFont val="Calibri"/>
        <b/>
        <color theme="1"/>
        <sz val="11.0"/>
      </rPr>
      <t xml:space="preserve">Programas autorizados por CIE: </t>
    </r>
    <r>
      <rPr>
        <rFont val="Calibri"/>
        <color theme="1"/>
        <sz val="11.0"/>
      </rPr>
      <t>Cumplimiento regulatorio del portafolio autorizado.</t>
    </r>
  </si>
  <si>
    <t xml:space="preserve">&gt;=80%
</t>
  </si>
  <si>
    <t xml:space="preserve">Conteo oficial a la fecha 
de corte
</t>
  </si>
  <si>
    <t xml:space="preserve">&gt;=11
</t>
  </si>
  <si>
    <t>11*</t>
  </si>
  <si>
    <t>D-06</t>
  </si>
  <si>
    <t>E2-K4</t>
  </si>
  <si>
    <t>Criterios de evaluación (Assessment Rubrics) para la presentación oral/defensa de tesis o disertación</t>
  </si>
  <si>
    <t>Faculty con credenciales
verificadas</t>
  </si>
  <si>
    <r>
      <rPr>
        <rFont val="Calibri"/>
        <b/>
        <color theme="1"/>
        <sz val="11.0"/>
      </rPr>
      <t>Actualizacion pedagogica:</t>
    </r>
    <r>
      <rPr>
        <rFont val="Calibri"/>
        <color theme="1"/>
        <sz val="11.0"/>
      </rPr>
      <t xml:space="preserve"> Participacion del faculty activo en el plan anual de desarrollo docente.</t>
    </r>
  </si>
  <si>
    <t>≥80% alcanza nivel competente o superior en la rúbrica de comunicación oral y defensa académica.</t>
  </si>
  <si>
    <t>Admissions / SIS</t>
  </si>
  <si>
    <t>Antony Huaynapata</t>
  </si>
  <si>
    <t>E2-K3</t>
  </si>
  <si>
    <t>Retención de faculty</t>
  </si>
  <si>
    <t>Paises/Registros</t>
  </si>
  <si>
    <r>
      <rPr>
        <rFont val="Calibri"/>
        <b/>
        <color theme="1"/>
        <sz val="11.0"/>
      </rPr>
      <t xml:space="preserve">Pertinencia curricular internacional: </t>
    </r>
    <r>
      <rPr>
        <rFont val="Calibri"/>
        <color theme="1"/>
        <sz val="11.0"/>
      </rPr>
      <t>Alineacion de los programas con demanda,  regulacion, recomendaciones de  advisory councils y resultados de aprendizaje</t>
    </r>
  </si>
  <si>
    <r>
      <rPr>
        <rFont val="Calibri"/>
        <b/>
        <color theme="1"/>
        <sz val="11.0"/>
      </rPr>
      <t>Evaluacion docente por estudiantes:</t>
    </r>
    <r>
      <rPr>
        <rFont val="Calibri"/>
        <color theme="1"/>
        <sz val="11.0"/>
      </rPr>
      <t xml:space="preserve"> Valoracion consolidada  del desempeno docente en los cursos impartidos.</t>
    </r>
  </si>
  <si>
    <t xml:space="preserve">Suma de puntuaciones 
validas / número de 
respuestas validas
</t>
  </si>
  <si>
    <r>
      <rPr>
        <rFont val="Calibri"/>
        <b/>
        <color theme="1"/>
        <sz val="11.0"/>
      </rPr>
      <t>Evaluacion docente por estudiantes:</t>
    </r>
    <r>
      <rPr>
        <rFont val="Calibri"/>
        <color theme="1"/>
        <sz val="11.0"/>
      </rPr>
      <t xml:space="preserve"> Valoracion consolidada  del desempeno docente en los cursos impartidos.</t>
    </r>
  </si>
  <si>
    <t>Criterio general</t>
  </si>
  <si>
    <t>D-07</t>
  </si>
  <si>
    <t>Tratamiento</t>
  </si>
  <si>
    <t>Revisión de los resultados del aprendizaje extracurricular</t>
  </si>
  <si>
    <t>Resultados</t>
  </si>
  <si>
    <t>≥80% de los participantes demuestra el resultado de aprendizaje cocurricular establecido.</t>
  </si>
  <si>
    <t>E2-O01, E2-O02</t>
  </si>
  <si>
    <t>E4-K2</t>
  </si>
  <si>
    <t>NR</t>
  </si>
  <si>
    <t>Incidentes críticos de
seguridad</t>
  </si>
  <si>
    <r>
      <rPr>
        <rFont val="Calibri"/>
        <b/>
        <color theme="1"/>
        <sz val="11.0"/>
      </rPr>
      <t>Actualizacion pedagogica:</t>
    </r>
    <r>
      <rPr>
        <rFont val="Calibri"/>
        <color theme="1"/>
        <sz val="11.0"/>
      </rPr>
      <t xml:space="preserve"> Participacion del faculty activo en el plan anual de desarrollo docente.</t>
    </r>
  </si>
  <si>
    <t>E4-K4</t>
  </si>
  <si>
    <t>Curriculum review /
advisory</t>
  </si>
  <si>
    <t>Satisfacción tecnológica
(1-5)</t>
  </si>
  <si>
    <t>D-08</t>
  </si>
  <si>
    <t>4.61</t>
  </si>
  <si>
    <t>Actividad académica y profesional verificable del faculty</t>
  </si>
  <si>
    <t>Planes Institucionales</t>
  </si>
  <si>
    <t>≥70%</t>
  </si>
  <si>
    <r>
      <rPr>
        <rFont val="Calibri"/>
        <b/>
        <color theme="1"/>
        <sz val="11.0"/>
      </rPr>
      <t>Satisfaccion general con plataformas LMS/SIS:</t>
    </r>
    <r>
      <rPr>
        <rFont val="Calibri"/>
        <color theme="1"/>
        <sz val="11.0"/>
      </rPr>
      <t xml:space="preserve"> Valoracion de usabilidad, fiabilidad y experiencia del entorno tecnologico.</t>
    </r>
  </si>
  <si>
    <t>E3-K1</t>
  </si>
  <si>
    <t>Satisfacción del staff</t>
  </si>
  <si>
    <t>E3-I01, E3-I02, E3-S01</t>
  </si>
  <si>
    <t>E5-K4</t>
  </si>
  <si>
    <t>Meta alcanzada o superada, considerando la
dirección del KPI.</t>
  </si>
  <si>
    <t>Admisiones
angloparlantes</t>
  </si>
  <si>
    <t>Mantener, elevar meta o cerrar mejora.</t>
  </si>
  <si>
    <r>
      <rPr>
        <rFont val="Calibri"/>
        <b/>
        <color theme="1"/>
        <sz val="11.0"/>
      </rPr>
      <t xml:space="preserve">Permanencia docente: </t>
    </r>
    <r>
      <rPr>
        <rFont val="Calibri"/>
        <color theme="1"/>
        <sz val="11.0"/>
      </rPr>
      <t>Continuidad del faculty  elegible de un periodo academico al siguiente.</t>
    </r>
  </si>
  <si>
    <t>E6-K2</t>
  </si>
  <si>
    <t xml:space="preserve">Claustro académico
</t>
  </si>
  <si>
    <t>Capacitación ética y
seguridad</t>
  </si>
  <si>
    <t>Mantener un claustro académico superior que permita proyectar una imagen institucional de calidad y solidez, mediante una selección curada de profesores con experiencia internacional vigente, especialistas en su materia.</t>
  </si>
  <si>
    <t>E5-K3</t>
  </si>
  <si>
    <t>D-09</t>
  </si>
  <si>
    <t>Placement/progreso
profesional</t>
  </si>
  <si>
    <t>Resultados verificables de Alianzas Institucionales</t>
  </si>
  <si>
    <r>
      <rPr>
        <rFont val="Calibri"/>
        <b/>
        <color theme="1"/>
        <sz val="11.0"/>
      </rPr>
      <t>Placement Rate:</t>
    </r>
    <r>
      <rPr>
        <rFont val="Calibri"/>
        <color theme="1"/>
        <sz val="11.0"/>
      </rPr>
      <t xml:space="preserve"> Graduados elegibles que reportan empleo, mejora laboral, emprendimiento o continuidad academica dentro de la ventana definida.</t>
    </r>
  </si>
  <si>
    <t>E6-K3</t>
  </si>
  <si>
    <t>≥20% de participación institucional</t>
  </si>
  <si>
    <t>Course survey</t>
  </si>
  <si>
    <t>Participación comunitaria</t>
  </si>
  <si>
    <t>4.54</t>
  </si>
  <si>
    <t>Indicadores de Programas de Estudio BGU 2025–2026.pdf</t>
  </si>
  <si>
    <t>E3-K2</t>
  </si>
  <si>
    <t>Staff capacitado</t>
  </si>
  <si>
    <t>Parcialmente cumplido</t>
  </si>
  <si>
    <t>Resultado mayor a 0</t>
  </si>
  <si>
    <t xml:space="preserve">E2-O01
</t>
  </si>
  <si>
    <t>E6-K4</t>
  </si>
  <si>
    <t>Analizar causa y fortalecer acciones.</t>
  </si>
  <si>
    <t>Complaints resueltos en
plazo</t>
  </si>
  <si>
    <r>
      <rPr>
        <rFont val="Calibri"/>
        <b/>
        <color theme="1"/>
        <sz val="11.0"/>
      </rPr>
      <t>Diversidad internacional  del claustro:</t>
    </r>
    <r>
      <rPr>
        <rFont val="Calibri"/>
        <color theme="1"/>
        <sz val="11.0"/>
      </rPr>
      <t xml:space="preserve"> Representacion de nacionalidades y  experiencias academicas internacionales en el faculty activo.</t>
    </r>
  </si>
  <si>
    <t>E7-K3</t>
  </si>
  <si>
    <t xml:space="preserve">Conteo distinto de 
nacionalidades 
representadas
</t>
  </si>
  <si>
    <t>Persistencia de
beneficiarios</t>
  </si>
  <si>
    <t xml:space="preserve">&gt;=10 países
</t>
  </si>
  <si>
    <t>I-01</t>
  </si>
  <si>
    <t>Graduate Survey</t>
  </si>
  <si>
    <r>
      <rPr>
        <rFont val="Calibri"/>
        <b/>
        <color theme="1"/>
        <sz val="11.0"/>
      </rPr>
      <t xml:space="preserve">Persistencia de beneficiarios de apoyo: </t>
    </r>
    <r>
      <rPr>
        <rFont val="Calibri"/>
        <color theme="1"/>
        <sz val="11.0"/>
      </rPr>
      <t>Continuidad academica de estudiantes que reciben becas, subsidios u otra ayuda institucional.</t>
    </r>
  </si>
  <si>
    <t>E7-K2</t>
  </si>
  <si>
    <t>Indirecta</t>
  </si>
  <si>
    <t>&gt;=20%</t>
  </si>
  <si>
    <t>Estudiantes beneficiarios</t>
  </si>
  <si>
    <t>Training records</t>
  </si>
  <si>
    <t>E3-K3</t>
  </si>
  <si>
    <t>Resolución en primer
contacto</t>
  </si>
  <si>
    <t>Registros de capacitación
PLAN ANUAL DE DESARROLLO DOCENTE 2025 - 2026
INFORME DE CUMPLIMIENTO DEL PLAN ANUAL DE DESARROLLO DOCENTE 2025 - 2026</t>
  </si>
  <si>
    <t>E5-K2</t>
  </si>
  <si>
    <t>Convenios con impacto
documentado</t>
  </si>
  <si>
    <t>E2-O02</t>
  </si>
  <si>
    <t>No cumplido</t>
  </si>
  <si>
    <r>
      <rPr>
        <rFont val="Calibri"/>
        <b/>
        <color theme="1"/>
        <sz val="11.0"/>
      </rPr>
      <t xml:space="preserve">Profesores Top en  actividad: </t>
    </r>
    <r>
      <rPr>
        <rFont val="Calibri"/>
        <color theme="1"/>
        <sz val="11.0"/>
      </rPr>
      <t>Proporcion de faculty que cumple la definicion institucional vigente y presta servicio academico efectivo en el periodo.</t>
    </r>
  </si>
  <si>
    <t xml:space="preserve">Faculty Top activo / 
faculty activo x 100
</t>
  </si>
  <si>
    <t>Resultado igual a 0</t>
  </si>
  <si>
    <t>Accion de mejora obligatoria cuando
proceda.</t>
  </si>
  <si>
    <t xml:space="preserve">&gt;=10%
</t>
  </si>
  <si>
    <t>I-02</t>
  </si>
  <si>
    <t>Alumni Survey</t>
  </si>
  <si>
    <t>E5-K1</t>
  </si>
  <si>
    <t>Tasa de respuesta ≥75%</t>
  </si>
  <si>
    <t xml:space="preserve">Acuerdos/membresías
activos </t>
  </si>
  <si>
    <t>E3-K4</t>
  </si>
  <si>
    <r>
      <rPr>
        <rFont val="Calibri"/>
        <b/>
        <color theme="1"/>
        <sz val="11.0"/>
      </rPr>
      <t>Capacitacion administrativa:</t>
    </r>
    <r>
      <rPr>
        <rFont val="Calibri"/>
        <color theme="1"/>
        <sz val="11.0"/>
      </rPr>
      <t xml:space="preserve"> Cumplimiento del plan anual de capacitacion del staff.</t>
    </r>
  </si>
  <si>
    <t>Faculty roster</t>
  </si>
  <si>
    <t>Tiempo medio de
respuesta</t>
  </si>
  <si>
    <t>6 h</t>
  </si>
  <si>
    <t>Permanencia docente:
2025-2026 45 docentes  y del 2026- 2027 tenemos 68 de ellos 42 de los 45 continuan</t>
  </si>
  <si>
    <t>I-11</t>
  </si>
  <si>
    <r>
      <rPr>
        <rFont val="Calibri"/>
        <b/>
        <color theme="1"/>
        <sz val="11.0"/>
      </rPr>
      <t>Diversidad internacional  del claustro:</t>
    </r>
    <r>
      <rPr>
        <rFont val="Calibri"/>
        <color theme="1"/>
        <sz val="11.0"/>
      </rPr>
      <t xml:space="preserve"> Representacion de nacionalidades y  experiencias academicas internacionales en el faculty activo.</t>
    </r>
  </si>
  <si>
    <t xml:space="preserve">Número de Capacitaciones al Personal </t>
  </si>
  <si>
    <t>E3-I01</t>
  </si>
  <si>
    <r>
      <rPr>
        <rFont val="Calibri"/>
        <b/>
        <color theme="1"/>
        <sz val="11.0"/>
      </rPr>
      <t>Satisfaccion con servicios administrativos:</t>
    </r>
    <r>
      <rPr>
        <rFont val="Calibri"/>
        <color theme="1"/>
        <sz val="11.0"/>
      </rPr>
      <t xml:space="preserve"> Valoracion global de los servicios administrativos y de apoyo recibidos por los estudiantes</t>
    </r>
  </si>
  <si>
    <t xml:space="preserve">Respuestas favorables / 
respuestas validas x 10
</t>
  </si>
  <si>
    <t>≥ 85%</t>
  </si>
  <si>
    <t>I-03</t>
  </si>
  <si>
    <t>Sin datos</t>
  </si>
  <si>
    <t>Employer (empleador) Satisfaction Survey</t>
  </si>
  <si>
    <t>La fuente no produjo informacion valida.</t>
  </si>
  <si>
    <t>Plan de obtencion y responsable; no registrar
cero.</t>
  </si>
  <si>
    <t>≥65%</t>
  </si>
  <si>
    <r>
      <rPr>
        <rFont val="Calibri"/>
        <b/>
        <color theme="1"/>
        <sz val="11.0"/>
      </rPr>
      <t xml:space="preserve">Profesores Top en  actividad: </t>
    </r>
    <r>
      <rPr>
        <rFont val="Calibri"/>
        <color theme="1"/>
        <sz val="11.0"/>
      </rPr>
      <t>Proporcion de faculty que cumple la definicion institucional vigente y presta servicio academico efectivo en el periodo.</t>
    </r>
  </si>
  <si>
    <t>E4-K1</t>
  </si>
  <si>
    <t xml:space="preserve">Faculty Top activo / 
faculty activo x 100
</t>
  </si>
  <si>
    <t>Uptime de sistemas
críticos</t>
  </si>
  <si>
    <t>99.9%</t>
  </si>
  <si>
    <t>Academic Affairs</t>
  </si>
  <si>
    <t>E3-I02</t>
  </si>
  <si>
    <r>
      <rPr>
        <rFont val="Calibri"/>
        <b/>
        <color theme="1"/>
        <sz val="11.0"/>
      </rPr>
      <t>Clima laboral administrativo:</t>
    </r>
    <r>
      <rPr>
        <rFont val="Calibri"/>
        <color theme="1"/>
        <sz val="11.0"/>
      </rPr>
      <t xml:space="preserve"> Percepcion del staff sobre  liderazgo, colaboracion,  recursos, desarrollo y  ambiente laboral.</t>
    </r>
  </si>
  <si>
    <r>
      <rPr>
        <rFont val="Calibri"/>
        <b/>
        <color theme="1"/>
        <sz val="11.0"/>
      </rPr>
      <t>Satisfaccion con servicios administrativos:</t>
    </r>
    <r>
      <rPr>
        <rFont val="Calibri"/>
        <color theme="1"/>
        <sz val="11.0"/>
      </rPr>
      <t xml:space="preserve"> Valoracion global de los servicios administrativos y de apoyo recibidos por los estudiantes</t>
    </r>
  </si>
  <si>
    <r>
      <rPr>
        <rFont val="Arial"/>
        <sz val="10.0"/>
      </rPr>
      <t xml:space="preserve">Evidencia ERP: </t>
    </r>
    <r>
      <rPr>
        <rFont val="Arial"/>
        <color rgb="FF1155CC"/>
        <sz val="10.0"/>
        <u/>
      </rPr>
      <t>https://system.blackwell.university/academic/faculty</t>
    </r>
  </si>
  <si>
    <t xml:space="preserve">Respuestas favorables / 
respuestas validas x 100
</t>
  </si>
  <si>
    <t xml:space="preserve">&gt;=85%
</t>
  </si>
  <si>
    <t>I-04</t>
  </si>
  <si>
    <t>Student Satisfaction Survey</t>
  </si>
  <si>
    <t>≥75% satisfacción de las tres preguntas obligatorias</t>
  </si>
  <si>
    <r>
      <rPr>
        <rFont val="Calibri"/>
        <b/>
        <color theme="1"/>
        <sz val="11.0"/>
      </rPr>
      <t>Clima laboral administrativo:</t>
    </r>
    <r>
      <rPr>
        <rFont val="Calibri"/>
        <color theme="1"/>
        <sz val="11.0"/>
      </rPr>
      <t xml:space="preserve"> Percepcion del staff sobre  liderazgo, colaboracion,  recursos, desarrollo y  ambiente laboral.</t>
    </r>
  </si>
  <si>
    <t>No aplicable / cohorte no madura</t>
  </si>
  <si>
    <t>E4-S02</t>
  </si>
  <si>
    <t>El indicador no puede medirse legitimamente
en el periodo.</t>
  </si>
  <si>
    <t>Justificar y programar la primera medición
valida.</t>
  </si>
  <si>
    <t>E3-S01</t>
  </si>
  <si>
    <r>
      <rPr>
        <rFont val="Calibri"/>
        <b/>
        <color theme="1"/>
        <sz val="11.0"/>
      </rPr>
      <t>Permanencia del personal administrativo:</t>
    </r>
    <r>
      <rPr>
        <rFont val="Calibri"/>
        <color theme="1"/>
        <sz val="11.0"/>
      </rPr>
      <t xml:space="preserve"> Continuidad del personal elegible durante el periodo.</t>
    </r>
  </si>
  <si>
    <r>
      <rPr>
        <rFont val="Calibri"/>
        <b/>
        <color theme="1"/>
        <sz val="11.0"/>
      </rPr>
      <t>Permanencia del personal administrativo:</t>
    </r>
    <r>
      <rPr>
        <rFont val="Calibri"/>
        <color theme="1"/>
        <sz val="11.0"/>
      </rPr>
      <t xml:space="preserve"> Continuidad del personal elegible durante el periodo.</t>
    </r>
  </si>
  <si>
    <t xml:space="preserve">Staff que continua / staff 
elegible inicial x 100
</t>
  </si>
  <si>
    <t xml:space="preserve">Capital humano administrativo
</t>
  </si>
  <si>
    <t>I-05</t>
  </si>
  <si>
    <t xml:space="preserve">Contar con personal administrativo que cumple estándares globales, de idiomas, experiencia, y perfil innovador, y que permita el alcance de eficiencias operativas. </t>
  </si>
  <si>
    <t>Employee (empleado) Satisfaction Survey</t>
  </si>
  <si>
    <r>
      <rPr>
        <rFont val="Calibri"/>
        <b/>
        <color theme="1"/>
        <sz val="11.0"/>
      </rPr>
      <t>Seguridad percibida:</t>
    </r>
    <r>
      <rPr>
        <rFont val="Calibri"/>
        <color theme="1"/>
        <sz val="11.0"/>
      </rPr>
      <t xml:space="preserve"> Confianza de estudiantes y faculty en la proteccion de datos personales y academicos.</t>
    </r>
  </si>
  <si>
    <t>Annual staff survey</t>
  </si>
  <si>
    <t>Yajayra</t>
  </si>
  <si>
    <r>
      <rPr>
        <rFont val="Arial"/>
        <sz val="10.0"/>
      </rPr>
      <t xml:space="preserve">112 Encuestados al 14-julio-2026
neutral        19
satisfecho        38
muy satisfecho        46
Resultados:SAT 2026
Encuesta de Satisfacción del Estudiante: </t>
    </r>
    <r>
      <rPr>
        <rFont val="Arial"/>
        <color rgb="FF1155CC"/>
        <sz val="10.0"/>
        <u/>
      </rPr>
      <t>https://drive.google.com/file/d/1-gc200lhqIkFpIu_1PCzfQ1sei025df3/view?usp=drive_link</t>
    </r>
  </si>
  <si>
    <t xml:space="preserve">&gt;=90%
</t>
  </si>
  <si>
    <r>
      <rPr>
        <rFont val="Calibri"/>
        <b/>
        <color theme="1"/>
        <sz val="11.0"/>
      </rPr>
      <t>Capacitacion administrativa:</t>
    </r>
    <r>
      <rPr>
        <rFont val="Calibri"/>
        <color theme="1"/>
        <sz val="11.0"/>
      </rPr>
      <t xml:space="preserve"> Cumplimiento del plan anual de capacitacion del staff.</t>
    </r>
  </si>
  <si>
    <t>E4-O02</t>
  </si>
  <si>
    <r>
      <rPr>
        <rFont val="Calibri"/>
        <b/>
        <color theme="1"/>
        <sz val="11.0"/>
      </rPr>
      <t xml:space="preserve">Adopcion y capacitacion en plataformas: </t>
    </r>
    <r>
      <rPr>
        <rFont val="Calibri"/>
        <color theme="1"/>
        <sz val="11.0"/>
      </rPr>
      <t>Usuarios obligados que completan la capacitacion anual en EdTech y ciberseguridad.</t>
    </r>
  </si>
  <si>
    <t xml:space="preserve">Usuarios capacitados / 
usuarios obligados x 100
</t>
  </si>
  <si>
    <t>I-06</t>
  </si>
  <si>
    <t>End-of-Course Survey</t>
  </si>
  <si>
    <t>HR records</t>
  </si>
  <si>
    <t>Informe con corte a Junio 2026 - 93,33%: Informe del Indicado 3.6 - Capacitación Administrativa</t>
  </si>
  <si>
    <t xml:space="preserve">E5-I02
</t>
  </si>
  <si>
    <r>
      <rPr>
        <rFont val="Calibri"/>
        <b/>
        <color theme="1"/>
        <sz val="11.0"/>
      </rPr>
      <t>Percepcion de marca global:</t>
    </r>
    <r>
      <rPr>
        <rFont val="Calibri"/>
        <color theme="1"/>
        <sz val="11.0"/>
      </rPr>
      <t xml:space="preserve"> Reconocimiento y asociacion favorable de BGU entre grupos de interes seleccionados.
</t>
    </r>
  </si>
  <si>
    <t xml:space="preserve">&gt;=60%
</t>
  </si>
  <si>
    <r>
      <rPr>
        <rFont val="Calibri"/>
        <b/>
        <color theme="1"/>
        <sz val="11.0"/>
      </rPr>
      <t xml:space="preserve">Pertinencia curricular internacional: </t>
    </r>
    <r>
      <rPr>
        <rFont val="Calibri"/>
        <color theme="1"/>
        <sz val="11.0"/>
      </rPr>
      <t>Alineacion de los programas con demanda,  regulacion, recomendaciones de  advisory councils y resultados de aprendizaje</t>
    </r>
  </si>
  <si>
    <t>E5-S02</t>
  </si>
  <si>
    <t>≥4/5</t>
  </si>
  <si>
    <r>
      <rPr>
        <rFont val="Calibri"/>
        <b/>
        <color theme="1"/>
        <sz val="11.0"/>
      </rPr>
      <t>Estudiantes en movilidad o experiencia internacional:</t>
    </r>
    <r>
      <rPr>
        <rFont val="Calibri"/>
        <color theme="1"/>
        <sz val="11.0"/>
      </rPr>
      <t xml:space="preserve"> Participacion estudiantil en intercambio, movilidad virtual, proyectos o actividades internacionales verificadas</t>
    </r>
  </si>
  <si>
    <t>Conteo de participantes 
unicos</t>
  </si>
  <si>
    <t>&gt;=50</t>
  </si>
  <si>
    <t>E4-I01, E4-O02</t>
  </si>
  <si>
    <t xml:space="preserve">Puntuaciones de revisión del portafolio </t>
  </si>
  <si>
    <t>Portafolio Académico</t>
  </si>
  <si>
    <t>E6-S01</t>
  </si>
  <si>
    <r>
      <rPr>
        <rFont val="Calibri"/>
        <b/>
        <color theme="1"/>
        <sz val="11.0"/>
      </rPr>
      <t>Indice de valores eticos y transversales (IVET):</t>
    </r>
    <r>
      <rPr>
        <rFont val="Calibri"/>
        <color theme="1"/>
        <sz val="11.0"/>
      </rPr>
      <t xml:space="preserve"> Desarrollo percibido y evidenciado de fraternidad, etica, crecimiento, inclusion, diversidad, compromiso y excelencia.
</t>
    </r>
  </si>
  <si>
    <r>
      <rPr>
        <rFont val="Calibri"/>
        <b/>
        <color theme="1"/>
        <sz val="11.0"/>
      </rPr>
      <t>Resolucion en primer contacto:</t>
    </r>
    <r>
      <rPr>
        <rFont val="Calibri"/>
        <color theme="1"/>
        <sz val="11.0"/>
      </rPr>
      <t xml:space="preserve"> Casos resueltos sin  escalamiento ni  reapertura dentro del periodo de control.</t>
    </r>
  </si>
  <si>
    <t xml:space="preserve">(Suma de puntuaciones 
promedio / número de 
valores) x 100 / 5
</t>
  </si>
  <si>
    <t>I-07</t>
  </si>
  <si>
    <t>Retention Rate</t>
  </si>
  <si>
    <t>E6-O01</t>
  </si>
  <si>
    <r>
      <rPr>
        <rFont val="Calibri"/>
        <b/>
        <color theme="1"/>
        <sz val="11.0"/>
      </rPr>
      <t>Capacitacion anual en etica e inclusion:</t>
    </r>
    <r>
      <rPr>
        <rFont val="Calibri"/>
        <color theme="1"/>
        <sz val="11.0"/>
      </rPr>
      <t xml:space="preserve"> Cumplimiento de la formacion obligatoria en etica, inclusion, integridad academica y conducta institucional.</t>
    </r>
  </si>
  <si>
    <t xml:space="preserve">Personas que completan / 
personas obligadas x 100
</t>
  </si>
  <si>
    <t>≥85%</t>
  </si>
  <si>
    <t xml:space="preserve">&gt;=90%
</t>
  </si>
  <si>
    <t>Ticketing</t>
  </si>
  <si>
    <t>Marisol</t>
  </si>
  <si>
    <t>Acuerdos/membresías
activos</t>
  </si>
  <si>
    <t>Miércoles 22</t>
  </si>
  <si>
    <t>E5-O01</t>
  </si>
  <si>
    <t xml:space="preserve">E7-S01
</t>
  </si>
  <si>
    <r>
      <rPr>
        <rFont val="Calibri"/>
        <b/>
        <color theme="1"/>
        <sz val="11.0"/>
      </rPr>
      <t>Satisfaccion con el apoyo economico y el acceso:</t>
    </r>
    <r>
      <rPr>
        <rFont val="Calibri"/>
        <color theme="1"/>
        <sz val="11.0"/>
      </rPr>
      <t xml:space="preserve"> Valoracion de claridad, oportunidad, equidad y utilidad del proceso de ayuda.</t>
    </r>
  </si>
  <si>
    <t>Respuestas favorables / 
respuestas validas x 100</t>
  </si>
  <si>
    <t>Claustro Académico</t>
  </si>
  <si>
    <r>
      <rPr>
        <rFont val="Calibri"/>
        <b/>
        <color theme="1"/>
        <sz val="11.0"/>
      </rPr>
      <t>Tiempo medio de respuesta:</t>
    </r>
    <r>
      <rPr>
        <rFont val="Calibri"/>
        <color theme="1"/>
        <sz val="11.0"/>
      </rPr>
      <t xml:space="preserve"> Tiempo promedio transcurrido entre la recepcion de una solicitud y la primera respuesta util
</t>
    </r>
  </si>
  <si>
    <r>
      <rPr>
        <rFont val="Calibri"/>
        <b/>
        <color theme="1"/>
        <sz val="11.0"/>
      </rPr>
      <t>Evaluacion docente por estudiantes:</t>
    </r>
    <r>
      <rPr>
        <rFont val="Calibri"/>
        <color theme="1"/>
        <sz val="11.0"/>
      </rPr>
      <t xml:space="preserve"> Valoracion consolidada  del desempeno docente en los cursos impartidos.</t>
    </r>
  </si>
  <si>
    <t>E5-S01</t>
  </si>
  <si>
    <r>
      <rPr>
        <rFont val="Calibri"/>
        <b/>
        <color theme="1"/>
        <sz val="11.0"/>
      </rPr>
      <t>Relevancia de alianzas:</t>
    </r>
    <r>
      <rPr>
        <rFont val="Calibri"/>
        <color theme="1"/>
        <sz val="11.0"/>
      </rPr>
      <t xml:space="preserve"> Impacto academico, profesional o reputacional de los convenios activos</t>
    </r>
  </si>
  <si>
    <t>I-08</t>
  </si>
  <si>
    <t>12 h</t>
  </si>
  <si>
    <t xml:space="preserve">Promedio de rubrica 
institucional de impacto 
(1-5)
</t>
  </si>
  <si>
    <t>&gt;=4/5</t>
  </si>
  <si>
    <t>Graduation Rates</t>
  </si>
  <si>
    <t>4 h</t>
  </si>
  <si>
    <t>3 h</t>
  </si>
  <si>
    <r>
      <rPr>
        <rFont val="Calibri"/>
        <b/>
        <color theme="1"/>
        <sz val="11.0"/>
      </rPr>
      <t>Convenios activos:</t>
    </r>
    <r>
      <rPr>
        <rFont val="Calibri"/>
        <color theme="1"/>
        <sz val="11.0"/>
      </rPr>
      <t xml:space="preserve"> Convenios vigentes </t>
    </r>
  </si>
  <si>
    <t xml:space="preserve">Conteo de convenios 
activos y verificados
</t>
  </si>
  <si>
    <t>Bachelor ≥39%, 
Master ≥62% 
Doctoral ≥34%</t>
  </si>
  <si>
    <t>&gt;=20</t>
  </si>
  <si>
    <t>Convenio con impacto
documentado</t>
  </si>
  <si>
    <t>Capital Humano Administrativo</t>
  </si>
  <si>
    <r>
      <rPr>
        <rFont val="Calibri"/>
        <b/>
        <color theme="1"/>
        <sz val="11.0"/>
      </rPr>
      <t>Satisfaccion general con plataformas LMS/SIS:</t>
    </r>
    <r>
      <rPr>
        <rFont val="Calibri"/>
        <color theme="1"/>
        <sz val="11.0"/>
      </rPr>
      <t xml:space="preserve"> Valoracion de usabilidad, fiabilidad y experiencia del entorno tecnologico.</t>
    </r>
  </si>
  <si>
    <t xml:space="preserve">Plataformas tecnológicas
</t>
  </si>
  <si>
    <t xml:space="preserve">Proveer, mediante tecnología y plataformas educativas vigentes, una experiencia de aprendizaje moderna. </t>
  </si>
  <si>
    <t>I-09</t>
  </si>
  <si>
    <t>Indicadores de salud financiera (puntuación financiera compuesta)</t>
  </si>
  <si>
    <t>100% de los estados financieros auditados</t>
  </si>
  <si>
    <t xml:space="preserve">TIENEN LA MISMA META Y UN CONCEPTO IDÉNTICO </t>
  </si>
  <si>
    <t>99.2%</t>
  </si>
  <si>
    <t>99.5%</t>
  </si>
  <si>
    <t xml:space="preserve">E5-I01, E5-I02
</t>
  </si>
  <si>
    <t>IT monitoring</t>
  </si>
  <si>
    <t>Anthony Robles</t>
  </si>
  <si>
    <t>Campus LMS = 99,99%
Activa = 99,99%</t>
  </si>
  <si>
    <t>https://support.blackwell.university/Uptime/</t>
  </si>
  <si>
    <r>
      <rPr>
        <rFont val="Calibri"/>
        <b/>
        <color theme="1"/>
        <sz val="11.0"/>
      </rPr>
      <t>Disponibilidad de sistemas criticos (Uptime):</t>
    </r>
    <r>
      <rPr>
        <rFont val="Calibri"/>
        <color theme="1"/>
        <sz val="11.0"/>
      </rPr>
      <t xml:space="preserve"> Continuidad del servicio en LMS, SIS y otros sistemas definidos como criticos.</t>
    </r>
  </si>
  <si>
    <t>I-10</t>
  </si>
  <si>
    <t>Indicadores clave de rendimiento (KPI’s) del Strategic Plan</t>
  </si>
  <si>
    <t>100% de los KPI actualizados</t>
  </si>
  <si>
    <t>Plataformas Tecnológicas</t>
  </si>
  <si>
    <t>0 reportados*</t>
  </si>
  <si>
    <r>
      <rPr>
        <rFont val="Calibri"/>
        <b/>
        <color theme="1"/>
        <sz val="11.0"/>
      </rPr>
      <t>Seguridad percibida:</t>
    </r>
    <r>
      <rPr>
        <rFont val="Calibri"/>
        <color theme="1"/>
        <sz val="11.0"/>
      </rPr>
      <t xml:space="preserve"> Confianza de estudiantes y faculty en la proteccion de datos personales y academicos.</t>
    </r>
  </si>
  <si>
    <t>Security logs</t>
  </si>
  <si>
    <t>Consulta referente a Incidentes críticos de seguridad - BGU 2025 - 2026.pdf</t>
  </si>
  <si>
    <r>
      <rPr>
        <rFont val="Calibri"/>
        <b/>
        <color theme="1"/>
        <sz val="11.0"/>
      </rPr>
      <t>Oferta efectiva de programas:</t>
    </r>
    <r>
      <rPr>
        <rFont val="Calibri"/>
        <color theme="1"/>
        <sz val="11.0"/>
      </rPr>
      <t xml:space="preserve"> Proporcion de programas autorizados que se encuentran activos, admiten estudiantes y cuentan con capacidad academica y operativa</t>
    </r>
  </si>
  <si>
    <r>
      <rPr>
        <rFont val="Calibri"/>
        <b/>
        <color theme="1"/>
        <sz val="11.0"/>
      </rPr>
      <t xml:space="preserve">Optimizacion de procesos: </t>
    </r>
    <r>
      <rPr>
        <rFont val="Calibri"/>
        <color theme="1"/>
        <sz val="11.0"/>
      </rPr>
      <t>Procesos institucionales automatizados o redisenados y puestos en produccion durante el periodo.</t>
    </r>
  </si>
  <si>
    <t xml:space="preserve">Posicionamiento Global </t>
  </si>
  <si>
    <t xml:space="preserve">&gt;=5 nuevos por año
</t>
  </si>
  <si>
    <t>E6-O01, E6-S01</t>
  </si>
  <si>
    <r>
      <rPr>
        <rFont val="Calibri"/>
        <b/>
        <color theme="1"/>
        <sz val="11.0"/>
      </rPr>
      <t xml:space="preserve">Adopcion y capacitacion en plataformas: </t>
    </r>
    <r>
      <rPr>
        <rFont val="Calibri"/>
        <color theme="1"/>
        <sz val="11.0"/>
      </rPr>
      <t>Usuarios obligados que completan la capacitacion anual en EdTech y ciberseguridad.</t>
    </r>
  </si>
  <si>
    <r>
      <rPr>
        <rFont val="Calibri"/>
        <b/>
        <color theme="1"/>
        <sz val="11.0"/>
      </rPr>
      <t>Diversidad geografica del  alumnado:</t>
    </r>
    <r>
      <rPr>
        <rFont val="Calibri"/>
        <color theme="1"/>
        <sz val="11.0"/>
      </rPr>
      <t xml:space="preserve"> Cobertura internacional real de la matricula activa</t>
    </r>
  </si>
  <si>
    <t>IT / process owners</t>
  </si>
  <si>
    <t>1) Formularios Admision Acreditación
2) Proyecto Capstone
3) Chatfuel Master / doctorado / Licenciatura
4) Chatfuel DCE
5) ORA IA BGU
6) Trabajos finales
7) Sesiones Eurocoach
8) Sesiones Mentoring
9) Activa Student / Admin
10) Reporte de Consolidado de Deudas y Recaudación de la Empresa por fechas.
11) Sincronización de alumnos y sus cursos en el Moodle
12) Retiro del estudiante y suspension de acceso al Moodle
13) Sincronizacion de califaciones del moodle a la base de datos Activa
14) Creacion de cuotas del producto y cuenta de google workspace despues de procesar el pago inicial del alumno
15) Envio de correos electronicos con plantillas automaticas segun produto/categoria/empresa</t>
  </si>
  <si>
    <t>Cultura Universitaria</t>
  </si>
  <si>
    <r>
      <rPr>
        <rFont val="Calibri"/>
        <b/>
        <color theme="1"/>
        <sz val="11.0"/>
      </rPr>
      <t>Placement Rate:</t>
    </r>
    <r>
      <rPr>
        <rFont val="Calibri"/>
        <color theme="1"/>
        <sz val="11.0"/>
      </rPr>
      <t xml:space="preserve"> Graduados elegibles que reportan empleo, mejora laboral, emprendimiento o continuidad academica dentro de la ventana definida.</t>
    </r>
  </si>
  <si>
    <r>
      <rPr>
        <rFont val="Calibri"/>
        <b/>
        <color theme="1"/>
        <sz val="11.0"/>
      </rPr>
      <t xml:space="preserve">Permanencia docente: </t>
    </r>
    <r>
      <rPr>
        <rFont val="Calibri"/>
        <color theme="1"/>
        <sz val="11.0"/>
      </rPr>
      <t>Continuidad del faculty  elegible de un periodo academico al siguiente.</t>
    </r>
  </si>
  <si>
    <t>Student survey</t>
  </si>
  <si>
    <r>
      <rPr>
        <rFont val="Calibri"/>
        <b/>
        <color theme="1"/>
        <sz val="11.0"/>
      </rPr>
      <t>Percepcion de marca global:</t>
    </r>
    <r>
      <rPr>
        <rFont val="Calibri"/>
        <color theme="1"/>
        <sz val="11.0"/>
      </rPr>
      <t xml:space="preserve"> Reconocimiento y asociacion favorable de BGU entre grupos de interes seleccionados.
</t>
    </r>
  </si>
  <si>
    <t>https://support.blackwell.university/tech-infrastructure-reports/</t>
  </si>
  <si>
    <t>Parcialmente Cumplido</t>
  </si>
  <si>
    <t>E7-K1</t>
  </si>
  <si>
    <t>Apoyo Económico y Acceso</t>
  </si>
  <si>
    <t xml:space="preserve">Posicionamiento global
</t>
  </si>
  <si>
    <t>Fondos de scholarships y
grants</t>
  </si>
  <si>
    <t>Ofrecer oportunidades a nuestros estudiantes, alumni, profesorado, y staff, mediante colaboración a nivel local, regional y global, con empresas, entidades educativas y otras.</t>
  </si>
  <si>
    <t>USD 3.6M</t>
  </si>
  <si>
    <t>2*</t>
  </si>
  <si>
    <r>
      <rPr>
        <rFont val="Calibri"/>
        <b/>
        <color theme="1"/>
        <sz val="11.0"/>
      </rPr>
      <t>Relevancia de alianzas:</t>
    </r>
    <r>
      <rPr>
        <rFont val="Calibri"/>
        <color theme="1"/>
        <sz val="11.0"/>
      </rPr>
      <t xml:space="preserve"> Impacto academico, profesional o reputacional de los convenios activos</t>
    </r>
  </si>
  <si>
    <t>Partnership register</t>
  </si>
  <si>
    <t xml:space="preserve">Promedio de rubrica 
institucional de impacto 
(1-5)
</t>
  </si>
  <si>
    <t>Membresias activas BGU</t>
  </si>
  <si>
    <r>
      <rPr>
        <rFont val="Calibri"/>
        <b/>
        <color theme="1"/>
        <sz val="11.0"/>
      </rPr>
      <t>Resolucion en primer contacto:</t>
    </r>
    <r>
      <rPr>
        <rFont val="Calibri"/>
        <color theme="1"/>
        <sz val="11.0"/>
      </rPr>
      <t xml:space="preserve"> Casos resueltos sin  escalamiento ni  reapertura dentro del periodo de control.</t>
    </r>
  </si>
  <si>
    <r>
      <rPr>
        <rFont val="Calibri"/>
        <b/>
        <color theme="1"/>
        <sz val="11.0"/>
      </rPr>
      <t>Estudiantes en movilidad o experiencia internacional:</t>
    </r>
    <r>
      <rPr>
        <rFont val="Calibri"/>
        <color theme="1"/>
        <sz val="11.0"/>
      </rPr>
      <t xml:space="preserve"> Participacion estudiantil en intercambio, movilidad virtual, proyectos o actividades internacionales verificadas</t>
    </r>
  </si>
  <si>
    <t>Agreement reports</t>
  </si>
  <si>
    <t>SEGUIMIENTO - VENTAS DE ACUERDOS</t>
  </si>
  <si>
    <r>
      <rPr>
        <rFont val="Calibri"/>
        <b/>
        <color theme="1"/>
        <sz val="11.0"/>
      </rPr>
      <t>Tiempo medio de respuesta:</t>
    </r>
    <r>
      <rPr>
        <rFont val="Calibri"/>
        <color theme="1"/>
        <sz val="11.0"/>
      </rPr>
      <t xml:space="preserve"> Tiempo promedio transcurrido entre la recepcion de una solicitud y la primera respuesta util
</t>
    </r>
  </si>
  <si>
    <r>
      <rPr>
        <rFont val="Calibri"/>
        <b/>
        <color theme="1"/>
        <sz val="11.0"/>
      </rPr>
      <t xml:space="preserve">Alianzas activas: </t>
    </r>
    <r>
      <rPr>
        <rFont val="Calibri"/>
        <color theme="1"/>
        <sz val="11.0"/>
      </rPr>
      <t>Convenios vigentes con al menos una actividad, producto o resultado documentado durante el periodo.</t>
    </r>
  </si>
  <si>
    <t xml:space="preserve">Conteo de alianzas 
activas y verificadas
</t>
  </si>
  <si>
    <t>NA</t>
  </si>
  <si>
    <t>E7-K4</t>
  </si>
  <si>
    <t>Alumni survey</t>
  </si>
  <si>
    <t>Fondos recibidos de
donantes</t>
  </si>
  <si>
    <t>E7-O0</t>
  </si>
  <si>
    <r>
      <rPr>
        <rFont val="Arial"/>
        <color rgb="FF000000"/>
        <sz val="10.0"/>
      </rPr>
      <t xml:space="preserve"> </t>
    </r>
    <r>
      <rPr>
        <rFont val="Arial"/>
        <sz val="10.0"/>
      </rPr>
      <t>Ratios 801 Data Collection (18.11.25) .xlsx
Fueron 46 respuestas
Población 172</t>
    </r>
  </si>
  <si>
    <t>USD 0.2M</t>
  </si>
  <si>
    <r>
      <rPr>
        <rFont val="Calibri"/>
        <b/>
        <color theme="1"/>
        <sz val="11.0"/>
      </rPr>
      <t>Sentido de pertenencia:</t>
    </r>
    <r>
      <rPr>
        <rFont val="Calibri"/>
        <color theme="1"/>
        <sz val="11.0"/>
      </rPr>
      <t xml:space="preserve"> Percepcion de estudiantes, faculty y staff sobre identificacion, inclusion y vinculacion con la comunidad BGU.
</t>
    </r>
  </si>
  <si>
    <t>Admissions</t>
  </si>
  <si>
    <r>
      <rPr>
        <rFont val="Calibri"/>
        <b/>
        <color theme="1"/>
        <sz val="11.0"/>
      </rPr>
      <t>Indice de valores eticos y transversales (IVET):</t>
    </r>
    <r>
      <rPr>
        <rFont val="Calibri"/>
        <color theme="1"/>
        <sz val="11.0"/>
      </rPr>
      <t xml:space="preserve"> Desarrollo percibido y evidenciado de fraternidad, etica, crecimiento, inclusion, diversidad, compromiso y excelencia.
</t>
    </r>
  </si>
  <si>
    <t>ADMISIONES ANGLOPARLANTES</t>
  </si>
  <si>
    <r>
      <rPr>
        <rFont val="Calibri"/>
        <b/>
        <color theme="1"/>
        <sz val="11.0"/>
      </rPr>
      <t>Disponibilidad de sistemas criticos (Uptime):</t>
    </r>
    <r>
      <rPr>
        <rFont val="Calibri"/>
        <color theme="1"/>
        <sz val="11.0"/>
      </rPr>
      <t xml:space="preserve"> Continuidad del servicio en LMS, SIS y otros sistemas definidos como criticos.</t>
    </r>
  </si>
  <si>
    <t xml:space="preserve">Cultura universitaria
</t>
  </si>
  <si>
    <r>
      <rPr>
        <rFont val="Calibri"/>
        <b/>
        <color theme="1"/>
        <sz val="11.0"/>
      </rPr>
      <t>Capacitacion anual en etica e inclusion:</t>
    </r>
    <r>
      <rPr>
        <rFont val="Calibri"/>
        <color theme="1"/>
        <sz val="11.0"/>
      </rPr>
      <t xml:space="preserve"> Cumplimiento de la formacion obligatoria en etica, inclusion, integridad academica y conducta institucional.</t>
    </r>
  </si>
  <si>
    <t xml:space="preserve">Alimentar una cultura universitaria que represente la identidad de BGU, reconocida por sus principios éticos, sentido de pertenencia, inclusión y su relación y compromiso con la comunidad. </t>
  </si>
  <si>
    <t>Annual survey</t>
  </si>
  <si>
    <r>
      <rPr>
        <rFont val="Calibri"/>
        <b/>
        <color theme="1"/>
        <sz val="11.0"/>
      </rPr>
      <t xml:space="preserve">Persistencia de beneficiarios de apoyo: </t>
    </r>
    <r>
      <rPr>
        <rFont val="Calibri"/>
        <color theme="1"/>
        <sz val="11.0"/>
      </rPr>
      <t>Continuidad academica de estudiantes que reciben becas, subsidios u otra ayuda institucional.</t>
    </r>
  </si>
  <si>
    <r>
      <rPr>
        <rFont val="Calibri"/>
        <b/>
        <color theme="1"/>
        <sz val="11.0"/>
      </rPr>
      <t>Satisfaccion con el apoyo economico y el acceso:</t>
    </r>
    <r>
      <rPr>
        <rFont val="Calibri"/>
        <color theme="1"/>
        <sz val="11.0"/>
      </rPr>
      <t xml:space="preserve"> Valoracion de claridad, oportunidad, equidad y utilidad del proceso de ayuda.</t>
    </r>
  </si>
  <si>
    <r>
      <rPr>
        <rFont val="Calibri"/>
        <b/>
        <color theme="1"/>
        <sz val="11.0"/>
      </rPr>
      <t>Fondos destinados a becas y subsidios:</t>
    </r>
    <r>
      <rPr>
        <rFont val="Calibri"/>
        <color theme="1"/>
        <sz val="11.0"/>
      </rPr>
      <t xml:space="preserve"> Valor total de ayuda reconocida durante el periodo, con metodologia financiera documentada.</t>
    </r>
  </si>
  <si>
    <t>Community records</t>
  </si>
  <si>
    <r>
      <rPr>
        <rFont val="Calibri"/>
        <b/>
        <color theme="1"/>
        <sz val="11.0"/>
      </rPr>
      <t>Fondos destinados a becas y subsidios:</t>
    </r>
    <r>
      <rPr>
        <rFont val="Calibri"/>
        <color theme="1"/>
        <sz val="11.0"/>
      </rPr>
      <t xml:space="preserve"> Valor total de ayuda reconocida durante el periodo, con metodologia financiera documentada.</t>
    </r>
  </si>
  <si>
    <t>Meet and great= 23
NBL= 3
Comunidad = 717
Egresados a Julio calidad= 188
Estudiantes activos a Julio calidad= 529</t>
  </si>
  <si>
    <r>
      <rPr>
        <rFont val="Calibri"/>
        <b/>
        <color theme="1"/>
        <sz val="11.0"/>
      </rPr>
      <t>Fondos recibidos de donantes:</t>
    </r>
    <r>
      <rPr>
        <rFont val="Calibri"/>
        <color theme="1"/>
        <sz val="11.0"/>
      </rPr>
      <t xml:space="preserve"> Recursos efectivamente recibidos de terceros para apoyar acceso, becas o iniciativas estudiantiles.</t>
    </r>
  </si>
  <si>
    <r>
      <rPr>
        <rFont val="Calibri"/>
        <b/>
        <color theme="1"/>
        <sz val="11.0"/>
      </rPr>
      <t>Fondos recibidos de donantes:</t>
    </r>
    <r>
      <rPr>
        <rFont val="Calibri"/>
        <color theme="1"/>
        <sz val="11.0"/>
      </rPr>
      <t xml:space="preserve"> Recursos efectivamente recibidos de terceros para apoyar acceso, becas o iniciativas estudiantiles.</t>
    </r>
  </si>
  <si>
    <t>Complaint log / Registro de quejas</t>
  </si>
  <si>
    <t>D.E</t>
  </si>
  <si>
    <t xml:space="preserve">Apoyo económico y acceso
</t>
  </si>
  <si>
    <t>CODIGO SP</t>
  </si>
  <si>
    <t>META SP</t>
  </si>
  <si>
    <t>META EP</t>
  </si>
  <si>
    <t xml:space="preserve">Búsqueda constante de alternativas de acceso y oportunidades continuas de apoyo a estudiantes y alumni, basado en mérito académico y el cumplimiento del perfil de la cultura BGU. 
</t>
  </si>
  <si>
    <t>USD 3.3M*</t>
  </si>
  <si>
    <t>USD 3.5M</t>
  </si>
  <si>
    <t>USD 4.0M</t>
  </si>
  <si>
    <t>Finance / aid / finanzas/ayuda</t>
  </si>
  <si>
    <r>
      <rPr>
        <rFont val="Carlito"/>
        <b/>
        <color theme="1"/>
      </rPr>
      <t xml:space="preserve">Optimizacion de procesos: </t>
    </r>
    <r>
      <rPr>
        <rFont val="Carlito"/>
        <color theme="1"/>
      </rPr>
      <t>Procesos institucionales automatizados o redisenados y puestos en produccion durante el periodo.</t>
    </r>
  </si>
  <si>
    <t>USD 3,90 M</t>
  </si>
  <si>
    <r>
      <rPr>
        <rFont val="Calibri"/>
        <b/>
        <color theme="1"/>
        <sz val="11.0"/>
      </rPr>
      <t>Retention Rate estudiantil:</t>
    </r>
    <r>
      <rPr>
        <rFont val="Calibri"/>
        <color theme="1"/>
        <sz val="11.0"/>
      </rPr>
      <t xml:space="preserve"> Persistencia de  estudiantes elegibles de un periodo al siguiente;  debe calcularse por cohorte, nivel y programa.</t>
    </r>
  </si>
  <si>
    <r>
      <rPr>
        <rFont val="Arial"/>
        <sz val="10.0"/>
      </rPr>
      <t>Reporte: Monto Total de GRANT</t>
    </r>
    <r>
      <rPr>
        <rFont val="Arial"/>
        <color rgb="FF1155CC"/>
        <sz val="10.0"/>
        <u/>
      </rPr>
      <t xml:space="preserve">
</t>
    </r>
    <r>
      <rPr>
        <rFont val="Arial"/>
        <sz val="10.0"/>
      </rPr>
      <t>Reporte Consolidado de Admisión: Reporte Consolidado de Admisión Blackwell Global University</t>
    </r>
  </si>
  <si>
    <r>
      <rPr>
        <rFont val="Carlito"/>
        <color theme="1"/>
      </rPr>
      <t>"</t>
    </r>
    <r>
      <rPr>
        <rFont val="Carlito"/>
        <b/>
        <color theme="1"/>
      </rPr>
      <t xml:space="preserve">Sentido de pertenencia: </t>
    </r>
    <r>
      <rPr>
        <rFont val="Carlito"/>
        <color theme="1"/>
      </rPr>
      <t>Percepcion de estudiantes, faculty y staff sobre identificacion, inclusion y vinculacion con la comunidad BGU.
"</t>
    </r>
  </si>
  <si>
    <t>Financial aid finanzas/ayuda</t>
  </si>
  <si>
    <r>
      <rPr>
        <rFont val="Arial"/>
        <sz val="10.0"/>
      </rPr>
      <t>Reporte: Monto Total de GRANT</t>
    </r>
    <r>
      <rPr>
        <rFont val="Arial"/>
        <color rgb="FF1155CC"/>
        <sz val="10.0"/>
        <u/>
      </rPr>
      <t xml:space="preserve">
</t>
    </r>
    <r>
      <rPr>
        <rFont val="Arial"/>
        <sz val="10.0"/>
      </rPr>
      <t>Reporte Consolidado de Admisión: Reporte Consolidado de Admisión Blackwell Global University</t>
    </r>
  </si>
  <si>
    <r>
      <rPr>
        <rFont val="Calibri"/>
        <b/>
        <color theme="1"/>
        <sz val="11.0"/>
      </rPr>
      <t>Graduation Rate:</t>
    </r>
    <r>
      <rPr>
        <rFont val="Calibri"/>
        <color theme="1"/>
        <sz val="11.0"/>
      </rPr>
      <t xml:space="preserve"> Graduacion dentro de la  ventana institucional de  reporte, desagregada por  nivel y cohorte madura.</t>
    </r>
  </si>
  <si>
    <r>
      <rPr>
        <rFont val="Calibri"/>
        <b/>
        <color theme="1"/>
        <sz val="11.0"/>
      </rPr>
      <t>Actualizacion pedagogica:</t>
    </r>
    <r>
      <rPr>
        <rFont val="Calibri"/>
        <color theme="1"/>
        <sz val="11.0"/>
      </rPr>
      <t xml:space="preserve"> Participacion del faculty activo en el plan anual de desarrollo docente.</t>
    </r>
  </si>
  <si>
    <t>SIS / aid</t>
  </si>
  <si>
    <t xml:space="preserve"> Ratios 801 Data Collection (18.11.25) .xlsx</t>
  </si>
  <si>
    <r>
      <rPr>
        <rFont val="Calibri"/>
        <b/>
        <color theme="1"/>
        <sz val="11.0"/>
      </rPr>
      <t>Satisfaccion general con plataformas LMS/SIS:</t>
    </r>
    <r>
      <rPr>
        <rFont val="Calibri"/>
        <color theme="1"/>
        <sz val="11.0"/>
      </rPr>
      <t xml:space="preserve"> Valoracion de usabilidad, fiabilidad y experiencia del entorno tecnologico.</t>
    </r>
  </si>
  <si>
    <t>NO TIENEN LA MISMA META Y CONCEPTO</t>
  </si>
  <si>
    <t>USD 0*</t>
  </si>
  <si>
    <t>USD 0.1M</t>
  </si>
  <si>
    <t>USD 0.5M</t>
  </si>
  <si>
    <t>Finance</t>
  </si>
  <si>
    <r>
      <rPr>
        <rFont val="Calibri"/>
        <b/>
        <color theme="1"/>
        <sz val="11.0"/>
      </rPr>
      <t>Placement Rate:</t>
    </r>
    <r>
      <rPr>
        <rFont val="Calibri"/>
        <color theme="1"/>
        <sz val="11.0"/>
      </rPr>
      <t xml:space="preserve"> Graduados elegibles que reportan empleo, mejora laboral, emprendimiento o continuidad academica dentro de la ventana definida.</t>
    </r>
  </si>
  <si>
    <t>No se han recibido recursos de donantes</t>
  </si>
  <si>
    <t>Total</t>
  </si>
  <si>
    <r>
      <rPr>
        <rFont val="Calibri"/>
        <b/>
        <color theme="1"/>
        <sz val="11.0"/>
      </rPr>
      <t xml:space="preserve">Persistencia de beneficiarios de apoyo: </t>
    </r>
    <r>
      <rPr>
        <rFont val="Calibri"/>
        <color theme="1"/>
        <sz val="11.0"/>
      </rPr>
      <t>Continuidad academica de estudiantes que reciben becas, subsidios u otra ayuda institucional.</t>
    </r>
  </si>
  <si>
    <r>
      <rPr>
        <rFont val="Calibri"/>
        <b/>
        <color theme="1"/>
        <sz val="11.0"/>
      </rPr>
      <t>Capacitacion administrativa:</t>
    </r>
    <r>
      <rPr>
        <rFont val="Calibri"/>
        <color theme="1"/>
        <sz val="11.0"/>
      </rPr>
      <t xml:space="preserve"> Cumplimiento del plan anual de capacitacion del staff.</t>
    </r>
  </si>
  <si>
    <t>TIENEN LA MISMA META Y CONCEPTO</t>
  </si>
  <si>
    <r>
      <rPr>
        <rFont val="Calibri"/>
        <b/>
        <color theme="1"/>
        <sz val="11.0"/>
      </rPr>
      <t xml:space="preserve">Programas autorizados por CIE: </t>
    </r>
    <r>
      <rPr>
        <rFont val="Calibri"/>
        <color theme="1"/>
        <sz val="11.0"/>
      </rPr>
      <t>Cumplimiento regulatorio del portafolio autorizado.</t>
    </r>
  </si>
  <si>
    <r>
      <rPr>
        <rFont val="Calibri"/>
        <b/>
        <color theme="1"/>
        <sz val="11.0"/>
      </rPr>
      <t>Oferta efectiva de programas:</t>
    </r>
    <r>
      <rPr>
        <rFont val="Calibri"/>
        <color theme="1"/>
        <sz val="11.0"/>
      </rPr>
      <t xml:space="preserve"> Proporcion de programas autorizados que se encuentran activos, admiten estudiantes y cuentan con capacidad academica y operativa</t>
    </r>
  </si>
  <si>
    <t>Meta 2023-24</t>
  </si>
  <si>
    <t>Meta 2024-25</t>
  </si>
  <si>
    <r>
      <rPr>
        <rFont val="Calibri"/>
        <b/>
        <color theme="1"/>
        <sz val="11.0"/>
      </rPr>
      <t>Diversidad internacional  del claustro:</t>
    </r>
    <r>
      <rPr>
        <rFont val="Calibri"/>
        <color theme="1"/>
        <sz val="11.0"/>
      </rPr>
      <t xml:space="preserve"> Representacion de nacionalidades y  experiencias academicas internacionales en el faculty activo.</t>
    </r>
  </si>
  <si>
    <r>
      <rPr>
        <rFont val="Calibri"/>
        <b/>
        <color theme="1"/>
        <sz val="11.0"/>
      </rPr>
      <t>Diversidad geografica del  alumnado:</t>
    </r>
    <r>
      <rPr>
        <rFont val="Calibri"/>
        <color theme="1"/>
        <sz val="11.0"/>
      </rPr>
      <t xml:space="preserve"> Cobertura internacional real de la matricula activa</t>
    </r>
  </si>
  <si>
    <r>
      <rPr>
        <rFont val="Calibri"/>
        <b/>
        <color theme="1"/>
        <sz val="11.0"/>
      </rPr>
      <t xml:space="preserve">Permanencia docente: </t>
    </r>
    <r>
      <rPr>
        <rFont val="Calibri"/>
        <color theme="1"/>
        <sz val="11.0"/>
      </rPr>
      <t>Continuidad del faculty  elegible de un periodo academico al siguiente.</t>
    </r>
  </si>
  <si>
    <r>
      <rPr>
        <rFont val="Calibri"/>
        <b/>
        <color theme="1"/>
        <sz val="11.0"/>
      </rPr>
      <t xml:space="preserve">Profesores Top en  actividad: </t>
    </r>
    <r>
      <rPr>
        <rFont val="Calibri"/>
        <color theme="1"/>
        <sz val="11.0"/>
      </rPr>
      <t>Proporcion de faculty que cumple la definicion institucional vigente y presta servicio academico efectivo en el periodo.</t>
    </r>
  </si>
  <si>
    <r>
      <rPr>
        <rFont val="Calibri"/>
        <b/>
        <color theme="1"/>
        <sz val="11.0"/>
      </rPr>
      <t>Resolucion en primer contacto:</t>
    </r>
    <r>
      <rPr>
        <rFont val="Calibri"/>
        <color theme="1"/>
        <sz val="11.0"/>
      </rPr>
      <t xml:space="preserve"> Casos resueltos sin  escalamiento ni  reapertura dentro del periodo de control.</t>
    </r>
  </si>
  <si>
    <r>
      <rPr>
        <rFont val="Calibri"/>
        <b/>
        <color theme="1"/>
        <sz val="11.0"/>
      </rPr>
      <t>Tiempo medio de respuesta:</t>
    </r>
    <r>
      <rPr>
        <rFont val="Calibri"/>
        <color theme="1"/>
        <sz val="11.0"/>
      </rPr>
      <t xml:space="preserve"> Tiempo promedio transcurrido entre la recepcion de una solicitud y la primera respuesta util
</t>
    </r>
  </si>
  <si>
    <r>
      <rPr>
        <rFont val="Calibri"/>
        <b/>
        <color theme="1"/>
        <sz val="11.0"/>
      </rPr>
      <t>Satisfaccion con servicios administrativos:</t>
    </r>
    <r>
      <rPr>
        <rFont val="Calibri"/>
        <color theme="1"/>
        <sz val="11.0"/>
      </rPr>
      <t xml:space="preserve"> Valoracion global de los servicios administrativos y de apoyo recibidos por los estudiantes</t>
    </r>
  </si>
  <si>
    <r>
      <rPr>
        <rFont val="Calibri"/>
        <b/>
        <color theme="1"/>
        <sz val="11.0"/>
      </rPr>
      <t>Disponibilidad de sistemas criticos (Uptime):</t>
    </r>
    <r>
      <rPr>
        <rFont val="Calibri"/>
        <color theme="1"/>
        <sz val="11.0"/>
      </rPr>
      <t xml:space="preserve"> Continuidad del servicio en LMS, SIS y otros sistemas definidos como criticos.</t>
    </r>
  </si>
  <si>
    <r>
      <rPr>
        <rFont val="Calibri"/>
        <b/>
        <color theme="1"/>
        <sz val="11.0"/>
      </rPr>
      <t>Fondos destinados a becas y subsidios:</t>
    </r>
    <r>
      <rPr>
        <rFont val="Calibri"/>
        <color theme="1"/>
        <sz val="11.0"/>
      </rPr>
      <t xml:space="preserve"> Valor total de ayuda reconocida durante el periodo, con metodologia financiera documentada.</t>
    </r>
  </si>
  <si>
    <r>
      <rPr>
        <rFont val="Calibri"/>
        <b/>
        <color theme="1"/>
        <sz val="11.0"/>
      </rPr>
      <t>Clima laboral administrativo:</t>
    </r>
    <r>
      <rPr>
        <rFont val="Calibri"/>
        <color theme="1"/>
        <sz val="11.0"/>
      </rPr>
      <t xml:space="preserve"> Percepcion del staff sobre  liderazgo, colaboracion,  recursos, desarrollo y  ambiente laboral.</t>
    </r>
  </si>
  <si>
    <r>
      <rPr>
        <rFont val="Calibri"/>
        <b/>
        <color theme="1"/>
        <sz val="11.0"/>
      </rPr>
      <t>Fondos recibidos de donantes:</t>
    </r>
    <r>
      <rPr>
        <rFont val="Calibri"/>
        <color theme="1"/>
        <sz val="11.0"/>
      </rPr>
      <t xml:space="preserve"> Recursos efectivamente recibidos de terceros para apoyar acceso, becas o iniciativas estudiantiles.</t>
    </r>
  </si>
  <si>
    <r>
      <rPr>
        <rFont val="Calibri"/>
        <b/>
        <color theme="1"/>
        <sz val="11.0"/>
      </rPr>
      <t>Retention Rate estudiantil:</t>
    </r>
    <r>
      <rPr>
        <rFont val="Calibri"/>
        <color theme="1"/>
        <sz val="11.0"/>
      </rPr>
      <t xml:space="preserve"> Persistencia de  estudiantes elegibles de un periodo al siguiente;  debe calcularse por cohorte, nivel y programa.</t>
    </r>
  </si>
  <si>
    <t>Acuerdos con impacto
documentado</t>
  </si>
  <si>
    <r>
      <rPr>
        <rFont val="Calibri"/>
        <b/>
        <color theme="1"/>
        <sz val="11.0"/>
      </rPr>
      <t>Permanencia del personal administrativo:</t>
    </r>
    <r>
      <rPr>
        <rFont val="Calibri"/>
        <color theme="1"/>
        <sz val="11.0"/>
      </rPr>
      <t xml:space="preserve"> Continuidad del personal elegible durante el periodo.</t>
    </r>
  </si>
  <si>
    <r>
      <rPr>
        <rFont val="Calibri"/>
        <b/>
        <color theme="1"/>
        <sz val="11.0"/>
      </rPr>
      <t>Graduation Rate:</t>
    </r>
    <r>
      <rPr>
        <rFont val="Calibri"/>
        <color theme="1"/>
        <sz val="11.0"/>
      </rPr>
      <t xml:space="preserve"> Graduacion dentro de la  ventana institucional de  reporte, desagregada por  nivel y cohorte madura.</t>
    </r>
  </si>
  <si>
    <t>ESTAN CASI IGUALES</t>
  </si>
  <si>
    <r>
      <rPr>
        <rFont val="Calibri"/>
        <b/>
        <color theme="1"/>
        <sz val="11.0"/>
      </rPr>
      <t>Evaluacion docente por estudiantes:</t>
    </r>
    <r>
      <rPr>
        <rFont val="Calibri"/>
        <color theme="1"/>
        <sz val="11.0"/>
      </rPr>
      <t xml:space="preserve"> Valoracion consolidada  del desempeno docente en los cursos impartidos.</t>
    </r>
  </si>
  <si>
    <r>
      <rPr>
        <rFont val="Calibri"/>
        <b/>
        <color theme="1"/>
        <sz val="11.0"/>
      </rPr>
      <t xml:space="preserve">Pertinencia curricular internacional: </t>
    </r>
    <r>
      <rPr>
        <rFont val="Calibri"/>
        <color theme="1"/>
        <sz val="11.0"/>
      </rPr>
      <t>Alineacion de los programas con demanda,  regulacion, recomendaciones de  advisory councils y resultados de aprendizaje</t>
    </r>
  </si>
  <si>
    <r>
      <rPr>
        <rFont val="Calibri"/>
        <b/>
        <color theme="1"/>
        <sz val="11.0"/>
      </rPr>
      <t>Seguridad percibida:</t>
    </r>
    <r>
      <rPr>
        <rFont val="Calibri"/>
        <color theme="1"/>
        <sz val="11.0"/>
      </rPr>
      <t xml:space="preserve"> Confianza de estudiantes y faculty en la proteccion de datos personales y academicos.</t>
    </r>
  </si>
  <si>
    <t>No se Repiten</t>
  </si>
  <si>
    <r>
      <rPr>
        <rFont val="Calibri"/>
        <b/>
        <color theme="1"/>
        <sz val="11.0"/>
      </rPr>
      <t>Diversidad internacional  del claustro:</t>
    </r>
    <r>
      <rPr>
        <rFont val="Calibri"/>
        <color theme="1"/>
        <sz val="11.0"/>
      </rPr>
      <t xml:space="preserve"> Representacion de nacionalidades y  experiencias academicas internacionales en el faculty activo.</t>
    </r>
  </si>
  <si>
    <r>
      <rPr>
        <rFont val="Calibri"/>
        <b/>
        <color theme="1"/>
        <sz val="11.0"/>
      </rPr>
      <t xml:space="preserve">Profesores Top en  actividad: </t>
    </r>
    <r>
      <rPr>
        <rFont val="Calibri"/>
        <color theme="1"/>
        <sz val="11.0"/>
      </rPr>
      <t>Proporcion de faculty que cumple la definicion institucional vigente y presta servicio academico efectivo en el periodo.</t>
    </r>
  </si>
  <si>
    <t xml:space="preserve">Apoyo económico y acceso
</t>
  </si>
  <si>
    <r>
      <rPr>
        <rFont val="Calibri"/>
        <b/>
        <color theme="1"/>
        <sz val="11.0"/>
      </rPr>
      <t xml:space="preserve">Adopcion y capacitacion en plataformas: </t>
    </r>
    <r>
      <rPr>
        <rFont val="Calibri"/>
        <color theme="1"/>
        <sz val="11.0"/>
      </rPr>
      <t>Usuarios obligados que completan la capacitacion anual en EdTech y ciberseguridad.</t>
    </r>
  </si>
  <si>
    <r>
      <rPr>
        <rFont val="Calibri"/>
        <b/>
        <color theme="1"/>
        <sz val="11.0"/>
      </rPr>
      <t>Satisfaccion con servicios administrativos:</t>
    </r>
    <r>
      <rPr>
        <rFont val="Calibri"/>
        <color theme="1"/>
        <sz val="11.0"/>
      </rPr>
      <t xml:space="preserve"> Valoracion global de los servicios administrativos y de apoyo recibidos por los estudiantes</t>
    </r>
  </si>
  <si>
    <r>
      <rPr>
        <rFont val="Calibri"/>
        <b/>
        <color theme="1"/>
        <sz val="11.0"/>
      </rPr>
      <t>Clima laboral administrativo:</t>
    </r>
    <r>
      <rPr>
        <rFont val="Calibri"/>
        <color theme="1"/>
        <sz val="11.0"/>
      </rPr>
      <t xml:space="preserve"> Percepcion del staff sobre  liderazgo, colaboracion,  recursos, desarrollo y  ambiente laboral.</t>
    </r>
  </si>
  <si>
    <r>
      <rPr>
        <rFont val="Calibri"/>
        <b/>
        <color theme="1"/>
        <sz val="11.0"/>
      </rPr>
      <t>Permanencia del personal administrativo:</t>
    </r>
    <r>
      <rPr>
        <rFont val="Calibri"/>
        <color theme="1"/>
        <sz val="11.0"/>
      </rPr>
      <t xml:space="preserve"> Continuidad del personal elegible durante el periodo.</t>
    </r>
  </si>
  <si>
    <r>
      <rPr>
        <rFont val="Calibri"/>
        <b/>
        <color theme="1"/>
        <sz val="11.0"/>
      </rPr>
      <t>Seguridad percibida:</t>
    </r>
    <r>
      <rPr>
        <rFont val="Calibri"/>
        <color theme="1"/>
        <sz val="11.0"/>
      </rPr>
      <t xml:space="preserve"> Confianza de estudiantes y faculty en la proteccion de datos personales y academicos.</t>
    </r>
  </si>
  <si>
    <r>
      <rPr>
        <rFont val="Calibri"/>
        <b/>
        <color theme="1"/>
        <sz val="11.0"/>
      </rPr>
      <t>Percepcion de marca global:</t>
    </r>
    <r>
      <rPr>
        <rFont val="Calibri"/>
        <color theme="1"/>
        <sz val="11.0"/>
      </rPr>
      <t xml:space="preserve"> Reconocimiento y asociacion favorable de BGU entre grupos de interes seleccionados.
</t>
    </r>
  </si>
  <si>
    <r>
      <rPr>
        <rFont val="Calibri"/>
        <b/>
        <color theme="1"/>
        <sz val="11.0"/>
      </rPr>
      <t xml:space="preserve">Adopcion y capacitacion en plataformas: </t>
    </r>
    <r>
      <rPr>
        <rFont val="Calibri"/>
        <color theme="1"/>
        <sz val="11.0"/>
      </rPr>
      <t>Usuarios obligados que completan la capacitacion anual en EdTech y ciberseguridad.</t>
    </r>
  </si>
  <si>
    <r>
      <rPr>
        <rFont val="Calibri"/>
        <b/>
        <color theme="1"/>
        <sz val="11.0"/>
      </rPr>
      <t>Percepcion de marca global:</t>
    </r>
    <r>
      <rPr>
        <rFont val="Calibri"/>
        <color theme="1"/>
        <sz val="11.0"/>
      </rPr>
      <t xml:space="preserve"> Reconocimiento y asociacion favorable de BGU entre grupos de interes seleccionados.
</t>
    </r>
  </si>
  <si>
    <r>
      <rPr>
        <rFont val="Calibri"/>
        <b/>
        <color theme="1"/>
        <sz val="11.0"/>
      </rPr>
      <t>Estudiantes en movilidad o experiencia internacional:</t>
    </r>
    <r>
      <rPr>
        <rFont val="Calibri"/>
        <color theme="1"/>
        <sz val="11.0"/>
      </rPr>
      <t xml:space="preserve"> Participacion estudiantil en intercambio, movilidad virtual, proyectos o actividades internacionales verificadas</t>
    </r>
  </si>
  <si>
    <r>
      <rPr>
        <rFont val="Calibri"/>
        <b/>
        <color theme="1"/>
        <sz val="11.0"/>
      </rPr>
      <t>Estudiantes en movilidad o experiencia internacional:</t>
    </r>
    <r>
      <rPr>
        <rFont val="Calibri"/>
        <color theme="1"/>
        <sz val="11.0"/>
      </rPr>
      <t xml:space="preserve"> Participacion estudiantil en intercambio, movilidad virtual, proyectos o actividades internacionales verificadas</t>
    </r>
  </si>
  <si>
    <r>
      <rPr>
        <rFont val="Calibri"/>
        <b/>
        <color theme="1"/>
        <sz val="11.0"/>
      </rPr>
      <t>Indice de valores eticos y transversales (IVET):</t>
    </r>
    <r>
      <rPr>
        <rFont val="Calibri"/>
        <color theme="1"/>
        <sz val="11.0"/>
      </rPr>
      <t xml:space="preserve"> Desarrollo percibido y evidenciado de fraternidad, etica, crecimiento, inclusion, diversidad, compromiso y excelencia.
</t>
    </r>
  </si>
  <si>
    <r>
      <rPr>
        <rFont val="Calibri"/>
        <b/>
        <color theme="1"/>
        <sz val="11.0"/>
      </rPr>
      <t>Capacitacion anual en etica e inclusion:</t>
    </r>
    <r>
      <rPr>
        <rFont val="Calibri"/>
        <color theme="1"/>
        <sz val="11.0"/>
      </rPr>
      <t xml:space="preserve"> Cumplimiento de la formacion obligatoria en etica, inclusion, integridad academica y conducta institucional.</t>
    </r>
  </si>
  <si>
    <r>
      <rPr>
        <rFont val="Calibri"/>
        <b/>
        <color theme="1"/>
        <sz val="11.0"/>
      </rPr>
      <t>Satisfaccion con el apoyo economico y el acceso:</t>
    </r>
    <r>
      <rPr>
        <rFont val="Calibri"/>
        <color theme="1"/>
        <sz val="11.0"/>
      </rPr>
      <t xml:space="preserve"> Valoracion de claridad, oportunidad, equidad y utilidad del proceso de ayuda.</t>
    </r>
  </si>
  <si>
    <r>
      <rPr>
        <rFont val="Calibri"/>
        <b/>
        <color theme="1"/>
        <sz val="11.0"/>
      </rPr>
      <t>Relevancia de alianzas:</t>
    </r>
    <r>
      <rPr>
        <rFont val="Calibri"/>
        <color theme="1"/>
        <sz val="11.0"/>
      </rPr>
      <t xml:space="preserve"> Impacto academico, profesional o reputacional de los convenios activos</t>
    </r>
  </si>
  <si>
    <r>
      <rPr>
        <rFont val="Calibri"/>
        <b/>
        <color theme="1"/>
        <sz val="11.0"/>
      </rPr>
      <t>Indice de valores eticos y transversales (IVET):</t>
    </r>
    <r>
      <rPr>
        <rFont val="Calibri"/>
        <color theme="1"/>
        <sz val="11.0"/>
      </rPr>
      <t xml:space="preserve"> Desarrollo percibido y evidenciado de fraternidad, etica, crecimiento, inclusion, diversidad, compromiso y excelencia.
</t>
    </r>
  </si>
  <si>
    <r>
      <rPr>
        <rFont val="Calibri"/>
        <b/>
        <color theme="1"/>
        <sz val="11.0"/>
      </rPr>
      <t>Convenios activos:</t>
    </r>
    <r>
      <rPr>
        <rFont val="Calibri"/>
        <color theme="1"/>
        <sz val="11.0"/>
      </rPr>
      <t xml:space="preserve"> Convenios vigentes </t>
    </r>
  </si>
  <si>
    <t>PLAN ESTRATÉGICO 2025 - 2026 VIGENTE</t>
  </si>
  <si>
    <t xml:space="preserve">Plan Estratégico de Blackwell Global University (2023-2028) V.2. </t>
  </si>
  <si>
    <r>
      <rPr>
        <rFont val="Calibri"/>
        <b/>
        <color theme="1"/>
        <sz val="11.0"/>
      </rPr>
      <t>Capacitacion anual en etica e inclusion:</t>
    </r>
    <r>
      <rPr>
        <rFont val="Calibri"/>
        <color theme="1"/>
        <sz val="11.0"/>
      </rPr>
      <t xml:space="preserve"> Cumplimiento de la formacion obligatoria en etica, inclusion, integridad academica y conducta institucional.</t>
    </r>
  </si>
  <si>
    <t>DIMENSIÓN</t>
  </si>
  <si>
    <t>OBJETIVO INSTITUCIONAL</t>
  </si>
  <si>
    <t>ESTRATEGIA INSTITUCIONAL</t>
  </si>
  <si>
    <t>ACCIÓN ESTRATÉGICA</t>
  </si>
  <si>
    <t xml:space="preserve">ACCIONES ESPECIFICAS </t>
  </si>
  <si>
    <t>DIVISIÓN RESPONSABLE</t>
  </si>
  <si>
    <t>RESPONSABLE NUEVO ASIGNADO</t>
  </si>
  <si>
    <t>ESTADO</t>
  </si>
  <si>
    <t>EVIDENCIA</t>
  </si>
  <si>
    <t>OBSERVACIONES</t>
  </si>
  <si>
    <t xml:space="preserve">ACCIONES DE MEJORA </t>
  </si>
  <si>
    <r>
      <rPr>
        <rFont val="Calibri"/>
        <b/>
        <color theme="1"/>
        <sz val="11.0"/>
      </rPr>
      <t>Satisfaccion con el apoyo economico y el acceso:</t>
    </r>
    <r>
      <rPr>
        <rFont val="Calibri"/>
        <color theme="1"/>
        <sz val="11.0"/>
      </rPr>
      <t xml:space="preserve"> Valoracion de claridad, oportunidad, equidad y utilidad del proceso de ayuda.</t>
    </r>
  </si>
  <si>
    <t>N°</t>
  </si>
  <si>
    <t>Programa Estratégico</t>
  </si>
  <si>
    <t>Estrategia</t>
  </si>
  <si>
    <t>Método de Ejecución</t>
  </si>
  <si>
    <t>Establecer una comunidad de aprendizaje diversa y global, mediante programas académicos y de educación continua en diversos idiomas.</t>
  </si>
  <si>
    <t>Acción</t>
  </si>
  <si>
    <t>División</t>
  </si>
  <si>
    <t>Cumple</t>
  </si>
  <si>
    <t>E1. Ofrecer programas académicos que atiendan necesidades de mercados actuales y nuevos, incrementando la oferta y reduciendo riesgo regulatorio/económico</t>
  </si>
  <si>
    <t>Estado 2024 - 2025</t>
  </si>
  <si>
    <t>AE1</t>
  </si>
  <si>
    <t>Avance</t>
  </si>
  <si>
    <t>Observaciones 2024 - 2025</t>
  </si>
  <si>
    <t>Diseñar un portafolio académico multilingüe alineado a demandas locales e internacionales y gestionar licencias.</t>
  </si>
  <si>
    <t>Evidencia Sugerida</t>
  </si>
  <si>
    <t>Seguimiento Necesario</t>
  </si>
  <si>
    <t>EVIDENCIAS</t>
  </si>
  <si>
    <t>1. Asignar presupuesto anual para el desarrollo y validación de programas multilingües.</t>
  </si>
  <si>
    <t>División de Administración y Finanzas</t>
  </si>
  <si>
    <t>Área Académica</t>
  </si>
  <si>
    <t>No. 1: Fortalecimiento del Portafolio Académico</t>
  </si>
  <si>
    <t>NO COMPLETADO</t>
  </si>
  <si>
    <t>Ofrecer programas académicos que respondan a las necesidades de los mercados actuales y emergentes.</t>
  </si>
  <si>
    <t>El presupuesto no incluye desarrollo de la acción.</t>
  </si>
  <si>
    <t xml:space="preserve">Entregable: Diseño Curricular Internacional </t>
  </si>
  <si>
    <t>3. Implementar auditorías para garantizar la sostenibilidad financiera del portafolio.</t>
  </si>
  <si>
    <t>Acta Plan curricular aprobado.</t>
  </si>
  <si>
    <t>Administración</t>
  </si>
  <si>
    <t>COMPLETADO</t>
  </si>
  <si>
    <r>
      <rPr/>
      <t xml:space="preserve">Informe de Auditoría: </t>
    </r>
    <r>
      <rPr>
        <color rgb="FF1155CC"/>
        <u/>
      </rPr>
      <t>https://drive.google.com/file/d/1TaOjj8z6pU5BWb8QdiAwMovzUxnsNLG1/view</t>
    </r>
  </si>
  <si>
    <t>Adjuntar evidencia</t>
  </si>
  <si>
    <r>
      <rPr>
        <rFont val="Calibri"/>
        <b/>
        <color theme="1"/>
        <sz val="11.0"/>
      </rPr>
      <t>Relevancia de alianzas:</t>
    </r>
    <r>
      <rPr>
        <rFont val="Calibri"/>
        <color theme="1"/>
        <sz val="11.0"/>
      </rPr>
      <t xml:space="preserve"> Impacto academico, profesional o reputacional de los convenios activos</t>
    </r>
  </si>
  <si>
    <t>Diseño curricular internacional:</t>
  </si>
  <si>
    <t>Diseñar el portafolio según mercados locales e internacionales.</t>
  </si>
  <si>
    <t>Ernesto Leo</t>
  </si>
  <si>
    <t>División de Asuntos Académicos</t>
  </si>
  <si>
    <t>1. Elaborar planes de estudio adaptados a estándares internacionales en al menos 3 idiomas.</t>
  </si>
  <si>
    <t>3. Coordinar comités académicos internacionales para validar la pertinencia de programas.</t>
  </si>
  <si>
    <t>SÍ</t>
  </si>
  <si>
    <t>AE2</t>
  </si>
  <si>
    <r>
      <rPr>
        <rFont val="Calibri"/>
        <b/>
        <color theme="1"/>
        <sz val="11.0"/>
      </rPr>
      <t>Convenios activos:</t>
    </r>
    <r>
      <rPr>
        <rFont val="Calibri"/>
        <color theme="1"/>
        <sz val="11.0"/>
      </rPr>
      <t xml:space="preserve"> Convenios vigentes </t>
    </r>
  </si>
  <si>
    <t>Establecer alianzas con universidades extranjeras para co-diseño de programas.</t>
  </si>
  <si>
    <t>1. Promocionar alianzas en mercados internacionales estratégicos.</t>
  </si>
  <si>
    <t>División de Admisión y Marketing</t>
  </si>
  <si>
    <t>Área Académica / Ronald</t>
  </si>
  <si>
    <t>Es un programa estadounidense estandarizado</t>
  </si>
  <si>
    <t>- Plan curricular aprobado.</t>
  </si>
  <si>
    <t>2. Organizar webinars conjuntos con universidades socias para captar estudiantes.</t>
  </si>
  <si>
    <t>Manual de Desarrollo Curricular BGU</t>
  </si>
  <si>
    <t>1. Identificar universidades con programas complementarios y acreditaciones relevantes.</t>
  </si>
  <si>
    <t>Gestionar licencias.</t>
  </si>
  <si>
    <t>Maria Marceliano</t>
  </si>
  <si>
    <t>Quality and Effectiveness</t>
  </si>
  <si>
    <t>2. Diseñar proyectos de doble titulación y movilidad docente-estudiantil.</t>
  </si>
  <si>
    <t>6 programas adicionales autorizados</t>
  </si>
  <si>
    <t>12499-2025-03-05-NontraditionalDelivery.pdf</t>
  </si>
  <si>
    <t>3. Formalizar convenios marco con metas e indicadores de impacto académico.</t>
  </si>
  <si>
    <t>AE3</t>
  </si>
  <si>
    <t>Implementar campañas multicanal de captación en mercados específicos con equipos de admisión especializados.</t>
  </si>
  <si>
    <t>Incluir competencias globales y temas emergentes.</t>
  </si>
  <si>
    <t>1. Financiar campañas internacionales con base en ROI proyectado.</t>
  </si>
  <si>
    <t>Ernesto Leo / German Saavedra</t>
  </si>
  <si>
    <t>Marketing</t>
  </si>
  <si>
    <t>2. Establecer mecanismos de control financiero sobre inversión en captación.</t>
  </si>
  <si>
    <r>
      <rPr/>
      <t xml:space="preserve">Captación Meta y Plataformas: </t>
    </r>
    <r>
      <rPr>
        <color rgb="FF1155CC"/>
        <u/>
      </rPr>
      <t>https://drive.google.com/file/d/1HfgXLErCgFJ4D13yD5A7S39RyYCq6XwG/view</t>
    </r>
  </si>
  <si>
    <t xml:space="preserve">Entregable: Alianzas Estratégicas Internacionales </t>
  </si>
  <si>
    <t>Actas de los acuerdos firmados</t>
  </si>
  <si>
    <t>3. Coordinar pagos y contratos con agencias de publicidad internacionales.</t>
  </si>
  <si>
    <r>
      <rPr/>
      <t xml:space="preserve">Meta advertising: </t>
    </r>
    <r>
      <rPr>
        <color rgb="FF1155CC"/>
        <u/>
      </rPr>
      <t>https://drive.google.com/file/d/1HfgXLErCgFJ4D13yD5A7S39RyYCq6XwG/view</t>
    </r>
  </si>
  <si>
    <t>Alianzas estratégicas internacionales:</t>
  </si>
  <si>
    <t>Establecer alianzas con instituciones.</t>
  </si>
  <si>
    <t>Ronald Huacca</t>
  </si>
  <si>
    <t>1. Ejecutar campañas digitales segmentadas en redes sociales y buscadores.</t>
  </si>
  <si>
    <r>
      <rPr/>
      <t xml:space="preserve">Campañas: </t>
    </r>
    <r>
      <rPr>
        <color rgb="FF1155CC"/>
        <u/>
      </rPr>
      <t>https://drive.google.com/drive/folders/1WWZ8fDuxG4yB8EUJVpmZreE0MkAuSO8r</t>
    </r>
  </si>
  <si>
    <t>2. Capacitar al equipo de admisión en técnicas de captación global.</t>
  </si>
  <si>
    <t>Admisión</t>
  </si>
  <si>
    <t>Se establecieron catorce alianzas con instituciones</t>
  </si>
  <si>
    <t>Articulación, Distribución, Certificación</t>
  </si>
  <si>
    <t>Certificados: Factors</t>
  </si>
  <si>
    <t>Se realizó capacitación a 15 personas del equipo de admisión, otorgándose un certificado.</t>
  </si>
  <si>
    <t>Firmar convenios para intercambio docente.</t>
  </si>
  <si>
    <t>3. Implementar CRM para seguimiento de prospectos internacionales.</t>
  </si>
  <si>
    <t>NO</t>
  </si>
  <si>
    <r>
      <rPr/>
      <t xml:space="preserve">Funnel  Maestrías: </t>
    </r>
    <r>
      <rPr>
        <color rgb="FF1155CC"/>
        <u/>
      </rPr>
      <t xml:space="preserve">https://baltic.bitrix24.es/crm/deal/kanban/category/147/
</t>
    </r>
    <r>
      <rPr/>
      <t xml:space="preserve">Funnel DBA : </t>
    </r>
    <r>
      <rPr>
        <color rgb="FF1155CC"/>
        <u/>
      </rPr>
      <t>https://baltic.bitrix24.es/crm/deal/kanban/category/228/</t>
    </r>
    <r>
      <rPr/>
      <t xml:space="preserve"> 
Funnel Pregrado: </t>
    </r>
    <r>
      <rPr>
        <color rgb="FF1155CC"/>
        <u/>
      </rPr>
      <t>https://baltic.bitrix24.es/crm/deal/kanban/category/127/</t>
    </r>
    <r>
      <rPr/>
      <t xml:space="preserve"> </t>
    </r>
  </si>
  <si>
    <t>Pendiente</t>
  </si>
  <si>
    <t>Se cuenta con 3 Funnel de atención del CRM de la plataforma Bitrix 24</t>
  </si>
  <si>
    <t>Entregable: Marketing multicanal</t>
  </si>
  <si>
    <t>Registros de campañas y sesiones de capacitación.</t>
  </si>
  <si>
    <t>E2. Ofrecer cursos de educación continua para empresas y profesionales de distintas regiones, ampliando portafolio y cobertura multilingüe para reducir riesgo económico.</t>
  </si>
  <si>
    <t>Marketing multicanal:</t>
  </si>
  <si>
    <t>Diseñar un portafolio de formación continua multilingüe basado en tendencias y necesidades del mercado.</t>
  </si>
  <si>
    <t>Campañas dirigidas adaptadas a mercados específicos.</t>
  </si>
  <si>
    <t>Paola Velarde</t>
  </si>
  <si>
    <t>1. Asignar fondos para desarrollo de contenidos y contratación de expertos.</t>
  </si>
  <si>
    <t>División de Admisión/Marketing</t>
  </si>
  <si>
    <r>
      <rPr/>
      <t xml:space="preserve">Principal professor: </t>
    </r>
    <r>
      <rPr>
        <color rgb="FF1155CC"/>
        <u/>
      </rPr>
      <t>https://drive.google.com/file/d/1HfgXLErCgFJ4D13yD5A7S39RyYCq6XwG/view</t>
    </r>
  </si>
  <si>
    <t>3. Monitorear la rentabilidad de cada curso en el portafolio.</t>
  </si>
  <si>
    <r>
      <rPr/>
      <t xml:space="preserve">Rentabilidad global según Estado de Resultados: </t>
    </r>
    <r>
      <rPr>
        <color rgb="FF1155CC"/>
        <u/>
      </rPr>
      <t>https://drive.google.com/file/d/1TaOjj8z6pU5BWb8QdiAwMovzUxnsNLG1/view</t>
    </r>
  </si>
  <si>
    <t>Hay 3 cuentas publicitarias</t>
  </si>
  <si>
    <t>- Cuentas publicitarias: Blackwell Global University 1, Blackwell Global University 2, Blackwell Global University 3</t>
  </si>
  <si>
    <t>1. Analizar tendencias laborales globales para definir cursos de corta duración.</t>
  </si>
  <si>
    <t>División de Educación Continua</t>
  </si>
  <si>
    <t>3. Implementar evaluaciones piloto de programas con feedback de empresas.</t>
  </si>
  <si>
    <t>Firmar convenios con entidades internacionales para intercambio de expertos y desarrollo de cursos conjuntos.</t>
  </si>
  <si>
    <t>1. Promocionar la oferta de formación continua a empresas multinacionales.</t>
  </si>
  <si>
    <t>Adjuntar evidencia (el enlace no funciona)</t>
  </si>
  <si>
    <t>Capacitar a los equipos de admisión.</t>
  </si>
  <si>
    <t>2. Crear catálogos digitales bilingües de cursos conjuntos.</t>
  </si>
  <si>
    <t>Repositorio DCE: División de Educación Continua</t>
  </si>
  <si>
    <t>Se realizaron cinco capacitaciones: dos en habilidades comerciales, una capacitación presencial de ventas, una sobre el nuevo portafolio de DBA y maestrías, y una sobre inteligencia emocional.</t>
  </si>
  <si>
    <t>INFORME DE CAPACITACIÓN</t>
  </si>
  <si>
    <t xml:space="preserve">revisar evidencia </t>
  </si>
  <si>
    <t>3. Difundir testimonios de empresas que se beneficien de la capacitación.</t>
  </si>
  <si>
    <t>No. 2: Fortalecimiento del Portafolio de Educación Continua</t>
  </si>
  <si>
    <t>Ofrecer cursos que respondan a las necesidades de empresas y profesionales a nivel global.</t>
  </si>
  <si>
    <t>1. Establecer convenios con cámaras de comercio y asociaciones empresariales.</t>
  </si>
  <si>
    <t>Catálogos de Cursos ofrecidos</t>
  </si>
  <si>
    <t>Diseñar un portafolio de cursos adaptado a mercados específicos.</t>
  </si>
  <si>
    <t>2. Invitar expertos internacionales para dictar talleres y diplomados.</t>
  </si>
  <si>
    <t>Catálogo de cursos ofertados.</t>
  </si>
  <si>
    <t>3. Desarrollar programas conjuntos con organismos profesionales globales.</t>
  </si>
  <si>
    <t>Ejecutar campañas digitales segmentadas para posicionar la formación continua en nuevos mercados.</t>
  </si>
  <si>
    <t>1. Financiar campañas con métricas de rentabilidad y alcance por región.</t>
  </si>
  <si>
    <t>Entregable: Alianzas Internacionales</t>
  </si>
  <si>
    <t>Convenios Firmados</t>
  </si>
  <si>
    <t>El presupuesto no incluye desarrollo de la acción a ese nivel.</t>
  </si>
  <si>
    <t>Solicitar a Marketing métricas de campañas y alcance por región.</t>
  </si>
  <si>
    <t>Alianzas internacionales:</t>
  </si>
  <si>
    <t>Establecer acuerdos de cooperación y mejora académica.</t>
  </si>
  <si>
    <t>2. Establecer KPIs financieros para medir costo por adquisición de estudiante.</t>
  </si>
  <si>
    <r>
      <rPr/>
      <t xml:space="preserve">Concluir con Marketing - CPA (Ana)
Informe de costo por estudiante: </t>
    </r>
    <r>
      <rPr>
        <color rgb="FF1155CC"/>
        <u/>
      </rPr>
      <t>https://drive.google.com/file/d/1NqUBmNbwlBAMFtR0P-68VgM0P9jm-18X/view?usp=drive_link</t>
    </r>
  </si>
  <si>
    <t>Se establecieron seis acuerdos de cooperación</t>
  </si>
  <si>
    <t>Desarrollo conjunto de programas DCE</t>
  </si>
  <si>
    <t>Intercambio de expertos.</t>
  </si>
  <si>
    <t>3. Supervisar contratos con agencias de marketing digital.</t>
  </si>
  <si>
    <t>Evento en Pakistán</t>
  </si>
  <si>
    <r>
      <rPr/>
      <t xml:space="preserve">Contrato vigente: </t>
    </r>
    <r>
      <rPr>
        <color rgb="FF1155CC"/>
        <u/>
      </rPr>
      <t>https://drive.google.com/drive/folders/1DPpLml7oibxmxT7af00o0PVekETg5eMx</t>
    </r>
  </si>
  <si>
    <t>Evidencia de campañas activas</t>
  </si>
  <si>
    <t>Campañas dirigidas y adaptadas.</t>
  </si>
  <si>
    <t>1. Diseñar campañas dirigidas a sectores específicos (ej. salud, tecnología, turismo).</t>
  </si>
  <si>
    <r>
      <rPr/>
      <t xml:space="preserve">Campañas: </t>
    </r>
    <r>
      <rPr>
        <color rgb="FF1155CC"/>
        <u/>
      </rPr>
      <t>https://drive.google.com/drive/folders/1VDHWG8zI2mqrU85ymPKW3d3f11ypFNGd?usp=sharing</t>
    </r>
  </si>
  <si>
    <t>Formación de equipos especializados de admisión.</t>
  </si>
  <si>
    <t>Anthony Huaynapata</t>
  </si>
  <si>
    <t>2. Optimizar el SEO de la página web de educación continua.</t>
  </si>
  <si>
    <t>https://drive.google.com/drive/folders/1c_ykUkTOLp5rY75muL8uCM0_noiDgaT3</t>
  </si>
  <si>
    <t>2 capacitaciones</t>
  </si>
  <si>
    <t>No. 3: Fortalecimiento de la Facultad Académica</t>
  </si>
  <si>
    <t>Fortalecer la facultad con docentes internacionales de prestigio.</t>
  </si>
  <si>
    <t>Entregable: Atracción de docentes</t>
  </si>
  <si>
    <t>3. Implementar remarketing para prospectos que visiten la web de formación continua.</t>
  </si>
  <si>
    <t>Lista de docentes contratados</t>
  </si>
  <si>
    <t>Se han lanzado solo campañas de Email mkt a TEP (cupón TEP)</t>
  </si>
  <si>
    <t>Captación de docentes:</t>
  </si>
  <si>
    <t>Campañas internacionales de reclutamiento.</t>
  </si>
  <si>
    <t>Mantener un claustro académico superior que proyecte calidad y solidez, mediante selección curada de profesores con experiencia internacional vigente, especialistas en su materia.</t>
  </si>
  <si>
    <t>Lista de docentes (nacionalidades)</t>
  </si>
  <si>
    <t>E3. Contratar y retener docentes con competencias disciplinares, credenciales internacionales y experiencia vigente con enfoque global.</t>
  </si>
  <si>
    <t>Invitaciones personalizadas.</t>
  </si>
  <si>
    <t>Implementar campañas específicas para atraer profesores internacionales de prestigio.</t>
  </si>
  <si>
    <t>1. Publicar convocatorias docentes en redes globales (LinkedIn, ResearchGate).</t>
  </si>
  <si>
    <t>Invitaciones enviadas</t>
  </si>
  <si>
    <t>Entregable: Incentivos y Beneficios</t>
  </si>
  <si>
    <t>Políticas de Incentivos</t>
  </si>
  <si>
    <t>Incentivos y beneficios:</t>
  </si>
  <si>
    <t>Bonos e incentivos por logros.</t>
  </si>
  <si>
    <t>2. Promocionar beneficios de docencia en BGU en ferias internacionales.</t>
  </si>
  <si>
    <t>Categorización</t>
  </si>
  <si>
    <t>3. Mantener base de datos de prospectos académicos internacionales.</t>
  </si>
  <si>
    <t>Programas de reconocimiento y participación en foros.</t>
  </si>
  <si>
    <t>1. Identificar rankings de docentes en asociaciones académicas.</t>
  </si>
  <si>
    <t>Reunión con docentes</t>
  </si>
  <si>
    <t>Entregable: Desarrollo Docente</t>
  </si>
  <si>
    <t>Número de Capacitaciones y Registros</t>
  </si>
  <si>
    <t>Desarrollo docente:</t>
  </si>
  <si>
    <t>2. Coordinar invitaciones formales con departamentos académicos.</t>
  </si>
  <si>
    <t>Programas de educación continua.</t>
  </si>
  <si>
    <t>División de Servicios Administrativos y Finanzas</t>
  </si>
  <si>
    <t>3. Establecer comités de evaluación docente.</t>
  </si>
  <si>
    <t>Programado para 2026</t>
  </si>
  <si>
    <t>Ofrecer incentivos económicos y no económicos (redes globales, foros internacionales).</t>
  </si>
  <si>
    <t>1. Diseñar un sistema de bonos por desempeño.</t>
  </si>
  <si>
    <t>Construir una imagen académica conjunta.</t>
  </si>
  <si>
    <t>Solicitar una propuesta con partida y monto a Asuntos académicos</t>
  </si>
  <si>
    <t>2. Implementar becas de formación para docentes.</t>
  </si>
  <si>
    <t>No. 4: Fortalecimiento del Capital Humano</t>
  </si>
  <si>
    <t>Retener y desarrollar personal multilingüe con experiencia y perfil innovador.</t>
  </si>
  <si>
    <t xml:space="preserve">Entregable: Reclutamiento y Capacitación </t>
  </si>
  <si>
    <t>Expedientes de contratación</t>
  </si>
  <si>
    <t>3. Crear paquetes de beneficios de salud y bienestar.</t>
  </si>
  <si>
    <t>Reclutamiento y capacitación:</t>
  </si>
  <si>
    <t>Selección de personal bilingüe con experiencia.</t>
  </si>
  <si>
    <t>Yajayra Velasquez</t>
  </si>
  <si>
    <t>1. Promover representación en redes y foros internacionales.</t>
  </si>
  <si>
    <t>Directores de división</t>
  </si>
  <si>
    <t xml:space="preserve">Exp. Alfredo Zamudio, Luis Oré Rober Aphang y Renzo Ferro </t>
  </si>
  <si>
    <t>2. Diseñar programas de investigación colaborativa.</t>
  </si>
  <si>
    <t>3. Generar publicaciones institucionales con coautoría docente.</t>
  </si>
  <si>
    <t>Campañas de atracción.</t>
  </si>
  <si>
    <t>Requerimientos de contratación por invitación</t>
  </si>
  <si>
    <t xml:space="preserve">Exp. Alfredo Zamudio, Luis Oré,  Rober Aphang y Renzo Ferro </t>
  </si>
  <si>
    <t>Establecer un programa integral de capacitación continua para actualización docente.</t>
  </si>
  <si>
    <t>Entregable: Planes de Carrera y Beneficios</t>
  </si>
  <si>
    <t>Políticas de Compensación y Beneficios</t>
  </si>
  <si>
    <t>1. Organizar talleres semestrales de innovación pedagógica.</t>
  </si>
  <si>
    <t>Planes de carrera y beneficios:</t>
  </si>
  <si>
    <t>Programas de compensación monetaria y no monetaria.</t>
  </si>
  <si>
    <t>2. Impulsar certificaciones docentes en tecnología educativa.</t>
  </si>
  <si>
    <t>3. Promover la formación en metodologías activas.</t>
  </si>
  <si>
    <t>Vales de capacitación y becas.</t>
  </si>
  <si>
    <t>Cursos de capacitación FASCP y AACRAO</t>
  </si>
  <si>
    <t>1. Ofrecer diplomados especializados para docentes.</t>
  </si>
  <si>
    <t>Entregable: Desarrollo del Talento Humano</t>
  </si>
  <si>
    <t>Registro de programas de mentoría y capacitación.</t>
  </si>
  <si>
    <t>Desarrollo del talento humano:</t>
  </si>
  <si>
    <t>Mentoría y educación continua.</t>
  </si>
  <si>
    <t>2. Crear un programa de mentoría interdocente.</t>
  </si>
  <si>
    <t>La conferencia DEAC se realizó en abril de 2025 y el taller DEAC se realizará en octubre de 2025.</t>
  </si>
  <si>
    <t>2025 Annual Conference Program _ DEAC.pdf / Conference Invoice $950 each - Sherman Rober and Sara.png</t>
  </si>
  <si>
    <t>3. Implementar cursos de actualización en tendencias globales.</t>
  </si>
  <si>
    <t>Capital Humano</t>
  </si>
  <si>
    <t>Contar con personal administrativo que cumple estándares globales de idiomas, experiencia y perfil innovador, que permita eficiencias operativas.</t>
  </si>
  <si>
    <t>Rutas de carrera para la innovación.</t>
  </si>
  <si>
    <t>E4. Contratar y retener personal administrativo bilingüe, con experiencia internacional y capacidad de trabajo remoto, asegurando eficiencia operativa.</t>
  </si>
  <si>
    <t>Reclutar talento administrativo multilingüe con experiencia global.</t>
  </si>
  <si>
    <t>1. Definir perfiles de puestos bilingües.</t>
  </si>
  <si>
    <t>No. 5: Innovación en Plataformas Tecnológicas</t>
  </si>
  <si>
    <t>Innovar sistemas y plataformas para mejorar la experiencia y la seguridad.</t>
  </si>
  <si>
    <t>Entregable: Uso de Herramientas Tecnológicas</t>
  </si>
  <si>
    <t>Informe sobre nuevas teconologías adoptadas</t>
  </si>
  <si>
    <t>Uso de herramientas tecnológicas:</t>
  </si>
  <si>
    <t>Explorar y adoptar tecnologías emergentes.</t>
  </si>
  <si>
    <t>División de Asuntos Académicos / Educación a Distancia</t>
  </si>
  <si>
    <t>Uso de avatares y programas en línea</t>
  </si>
  <si>
    <r>
      <rPr/>
      <t xml:space="preserve">President: </t>
    </r>
    <r>
      <rPr>
        <color rgb="FF1155CC"/>
        <u/>
      </rPr>
      <t xml:space="preserve">https://docs.google.com/document/d/1IIzQs3T6x611PlgoinwHJVuxGyM-EouhW6S8bwIjWL4/edit?tab=t.0
</t>
    </r>
    <r>
      <rPr/>
      <t xml:space="preserve">Director de Administración y Finanzas: </t>
    </r>
    <r>
      <rPr>
        <color rgb="FF1155CC"/>
        <u/>
      </rPr>
      <t xml:space="preserve">https://docs.google.com/document/d/17-A_IyDoV_O3ssCou83pFyujQMT56QYB3VKe0QeB7Hs/edit?tab=t.0
</t>
    </r>
    <r>
      <rPr/>
      <t xml:space="preserve">Director de Admisión y Marketing: </t>
    </r>
    <r>
      <rPr>
        <color rgb="FF1155CC"/>
        <u/>
      </rPr>
      <t xml:space="preserve">https://docs.google.com/document/d/1VKS8JQPTBbYhz7GTcZex8AuZPehEQb9MQ5pea7ZW0BI/edit?tab=t.0
</t>
    </r>
    <r>
      <rPr/>
      <t xml:space="preserve">Director de Servicios al Estudiante: </t>
    </r>
    <r>
      <rPr>
        <color rgb="FF1155CC"/>
        <u/>
      </rPr>
      <t xml:space="preserve">https://docs.google.com/document/d/1zJrcg9LKgGJFMd-bDB9wvIoExxib5_xSxTislRg0BBg/edit?tab=t.0
</t>
    </r>
    <r>
      <rPr/>
      <t xml:space="preserve">Director de Asuntos Académicos: </t>
    </r>
    <r>
      <rPr>
        <color rgb="FF1155CC"/>
        <u/>
      </rPr>
      <t>https://docs.google.com/document/d/1eBE9bbArJ4KFFKP33eNOEP6eQZ1k5glm3Vr-kopG1GE/edit?tab=t.0</t>
    </r>
  </si>
  <si>
    <t>Capacitación avanzada del personal.</t>
  </si>
  <si>
    <t>Certificados de uso de tecnología</t>
  </si>
  <si>
    <t>3. Implementar pruebas de idiomas como filtro de selección.</t>
  </si>
  <si>
    <t>Entregable: Seguridad de la Información</t>
  </si>
  <si>
    <t>Informes de seguridad</t>
  </si>
  <si>
    <t>Informe de entrevistas realizadas en inglés.</t>
  </si>
  <si>
    <t>Seguridad de la información:</t>
  </si>
  <si>
    <t>Protocolos de contingencia.</t>
  </si>
  <si>
    <t>Se vienen realizando entrevistas en inglés, ejemplo Rober acreditación / seguimiento al egresado</t>
  </si>
  <si>
    <t>División de Servicios Administrativos y Finanzas / Tecnología</t>
  </si>
  <si>
    <t>Implementar exámenes en inglés (virtuales)</t>
  </si>
  <si>
    <t>1. Participar en ferias de empleo locales.</t>
  </si>
  <si>
    <t>División Servicios al Estudiante</t>
  </si>
  <si>
    <t>No contamos con una dimensión relacionada con el capital humano</t>
  </si>
  <si>
    <t>📗 Protocolos formalizados en el Plan de Recuperación ante Desastres (DRP)</t>
  </si>
  <si>
    <r>
      <rPr>
        <rFont val="Carlito"/>
        <color rgb="FF467886"/>
        <sz val="11.0"/>
        <u/>
      </rPr>
      <t xml:space="preserve">📒 Evidencia / Anexos: Plan de Recuperación ante Desastres (DRP)
</t>
    </r>
    <r>
      <rPr>
        <rFont val="Carlito"/>
        <color rgb="FF1F1F1F"/>
        <sz val="11.0"/>
        <u/>
      </rPr>
      <t>PS.PO.12 Information Security Rev. 00
INFORME DE PRUEBA DE SIMULACIÓN DEL PLAN DE RECUPERACIÓN ANTE DESASTRES (DRP)</t>
    </r>
  </si>
  <si>
    <t>3. Realizar encuestas de satisfacción laboral.</t>
  </si>
  <si>
    <t>Diseñar planes de carrera y beneficios competitivos para retención de talento.</t>
  </si>
  <si>
    <t>1. Diseñar escalas salariales competitivas.</t>
  </si>
  <si>
    <t>Auditorías de ciberseguridad.</t>
  </si>
  <si>
    <r>
      <rPr/>
      <t xml:space="preserve">Política remunerativa - escalas salariales: </t>
    </r>
    <r>
      <rPr>
        <color rgb="FF1155CC"/>
        <u/>
      </rPr>
      <t>https://docs.google.com/document/d/13RpInNSRL2_O7TEaVmcM1ecFiun8GYyrJgECM5he-PI/edit?tab=t.0</t>
    </r>
  </si>
  <si>
    <t>📗 Plan formal desarrollado y pendiente de implementación según cronograma. Ver documento adjunto.</t>
  </si>
  <si>
    <t>Plan de Auditoría de Ciberseguridad</t>
  </si>
  <si>
    <t>Entregable: Optimización de procesos</t>
  </si>
  <si>
    <t>Plataformas Implementadas y Funcionales</t>
  </si>
  <si>
    <t>2. Definir rutas de promoción interna.</t>
  </si>
  <si>
    <t>Optimización de procesos:</t>
  </si>
  <si>
    <t>Plataformas para la gestión administrativa y académica.</t>
  </si>
  <si>
    <r>
      <rPr/>
      <t xml:space="preserve">Política Remuenrativa 8. 8.6 - recategorización del empleado  </t>
    </r>
    <r>
      <rPr>
        <color rgb="FF1155CC"/>
        <u/>
      </rPr>
      <t>https://drive.google.com/file/d/1t8YRW31TqtJgsM9pWwFNMmYRr42ztWac/view?usp=drive_link</t>
    </r>
  </si>
  <si>
    <t>📗 Gestión Académica: Campus Virtual (LMS) completamente operativo.</t>
  </si>
  <si>
    <t>ACCESO PARA EVALUACIÓN AL CAMPUS VIRTUAL (LMS)
Diagrama de la Arquitectura Tecnológica Institucional</t>
  </si>
  <si>
    <t>3. Crear programas de incentivos por desempeño.</t>
  </si>
  <si>
    <r>
      <rPr/>
      <t xml:space="preserve">Matriz de indicadores bonificables: </t>
    </r>
    <r>
      <rPr>
        <color rgb="FF1155CC"/>
        <u/>
      </rPr>
      <t>https://drive.google.com/file/d/1ITGSlMiGGQBOA17i6ufJEVsXanoPhGVU/view?usp=drive_link</t>
    </r>
  </si>
  <si>
    <t>Herramientas de interacción digital.</t>
  </si>
  <si>
    <t>1. Vincular desarrollo administrativo con resultados académicos.</t>
  </si>
  <si>
    <t>📗 Interacción sincrónica (Teams) y soporte estudiantil (Zoho Desk) implementados y operativos.</t>
  </si>
  <si>
    <t>Diagrama de la Arquitectura Tecnológica Institucional</t>
  </si>
  <si>
    <t>Elaborar una propuesta.</t>
  </si>
  <si>
    <t>2. Brindar capacitaciones en gestión universitaria.</t>
  </si>
  <si>
    <r>
      <rPr/>
      <t xml:space="preserve">Informe de capacitación anual - 4,3 y 5,5: </t>
    </r>
    <r>
      <rPr>
        <color rgb="FF1155CC"/>
        <u/>
      </rPr>
      <t>https://docs.google.com/document/d/1ZNoM3Axx9AGv8Mab3N0cNxaGwCUcmTT-tSdI1w5UzS0/edit?tab=t.0</t>
    </r>
  </si>
  <si>
    <t>No. 6: Posicionamiento Global</t>
  </si>
  <si>
    <t>Generar alianzas estratégicas y aumentar la visibilidad internacional.</t>
  </si>
  <si>
    <t>Entregable: Alianzas Estratégicas</t>
  </si>
  <si>
    <t>Lista de Redes Afiliadas</t>
  </si>
  <si>
    <t>Alianzas estratégicas:</t>
  </si>
  <si>
    <t>Identificar y priorizar redes internacionales.</t>
  </si>
  <si>
    <t>3. Supervisar impacto del personal en indicadores académicos.</t>
  </si>
  <si>
    <t>BGU se incorporó a membresías internacionales</t>
  </si>
  <si>
    <t>QIHE Association (Quality International Higher Education Association), FAPSC (Florida Association of Postsecondary Schools and Colleges), PRME (Principles for Responsible Management Education)</t>
  </si>
  <si>
    <t>Implementar programas de formación interna en innovación y competencias digitales.</t>
  </si>
  <si>
    <t>1. Crear talleres en innovación administrativa.</t>
  </si>
  <si>
    <r>
      <rPr/>
      <t xml:space="preserve">Informe de capacitación anual - 5,3: </t>
    </r>
    <r>
      <rPr>
        <color rgb="FF1155CC"/>
        <u/>
      </rPr>
      <t>https://docs.google.com/document/d/1ZNoM3Axx9AGv8Mab3N0cNxaGwCUcmTT-tSdI1w5UzS0/edit?tab=t.0</t>
    </r>
  </si>
  <si>
    <t>Membresía en organizaciones.</t>
  </si>
  <si>
    <t>Implementación con OTI</t>
  </si>
  <si>
    <t>2. Implementar capacitaciones en servicio al cliente digital.</t>
  </si>
  <si>
    <t>Entregable: Convenios</t>
  </si>
  <si>
    <t>Convenios Vigentes</t>
  </si>
  <si>
    <r>
      <rPr/>
      <t xml:space="preserve">PAC 2026 - Programado para Julio 2026: </t>
    </r>
    <r>
      <rPr>
        <color rgb="FF1155CC"/>
        <u/>
      </rPr>
      <t>https://drive.google.com/file/d/1t71b9el61Kxyp4wDXL145_oatTpaobR1/view?usp=drive_link</t>
    </r>
  </si>
  <si>
    <t>Convenios:</t>
  </si>
  <si>
    <t>Suscripción con objetivos claros y medibles.</t>
  </si>
  <si>
    <t>3. Establecer un sistema de feedback continuo.</t>
  </si>
  <si>
    <t>Registro de ACP - Bitrix</t>
  </si>
  <si>
    <t xml:space="preserve">Establecer bajo PAT </t>
  </si>
  <si>
    <t>Gestión y seguimiento de convenios.</t>
  </si>
  <si>
    <t>1. Ofrecer cursos cortos en herramientas tecnológicas.</t>
  </si>
  <si>
    <r>
      <rPr/>
      <t xml:space="preserve">PAC 2026: </t>
    </r>
    <r>
      <rPr>
        <color rgb="FF1155CC"/>
        <u/>
      </rPr>
      <t xml:space="preserve">https://drive.google.com/file/d/1t71b9el61Kxyp4wDXL145_oatTpaobR1/view?usp=drive_link
</t>
    </r>
    <r>
      <rPr/>
      <t xml:space="preserve">Informe de capacitación anual - 5,3: </t>
    </r>
    <r>
      <rPr>
        <color rgb="FF1155CC"/>
        <u/>
      </rPr>
      <t>https://docs.google.com/document/d/1ZNoM3Axx9AGv8Mab3N0cNxaGwCUcmTT-tSdI1w5UzS0/edit?tab=t.0</t>
    </r>
  </si>
  <si>
    <t>Entregable: Eventos Internacionales</t>
  </si>
  <si>
    <t>Registro de Participación de Eventos</t>
  </si>
  <si>
    <t>2. Diseñar certificaciones internas de gestión digital.</t>
  </si>
  <si>
    <t>Eventos internacionales:</t>
  </si>
  <si>
    <t>Participación activa en ferias y foros.</t>
  </si>
  <si>
    <t>3. Actualizar cada 2 años el currículo de formación administrativa.</t>
  </si>
  <si>
    <t>Síntesis 2024</t>
  </si>
  <si>
    <r>
      <rPr>
        <color rgb="FF1F1F1F"/>
      </rPr>
      <t xml:space="preserve">Base de Datos de CV: </t>
    </r>
    <r>
      <rPr>
        <color rgb="FF3C78D8"/>
        <u/>
      </rPr>
      <t>https://drive.google.com/drive/folders/1cOiYn--bXwmGfobuRvGKZDOK4NHBgw_Q</t>
    </r>
  </si>
  <si>
    <t>Organización de eventos de networking.</t>
  </si>
  <si>
    <t>Proveer, mediante tecnología y plataformas educativas vigentes, una experiencia de aprendizaje moderna.</t>
  </si>
  <si>
    <t>No. 7: Cultura Universitaria</t>
  </si>
  <si>
    <t>E5. Revisar, evaluar e innovar sistemas y plataformas tecnológicas para garantizar experiencia moderna, seguridad de información y optimización de procesos.</t>
  </si>
  <si>
    <t>Promover competencias globales, inclusión y principios éticos.</t>
  </si>
  <si>
    <t>Entregable: Competencias Globales y Pensamiento Crítico</t>
  </si>
  <si>
    <t>Desarrollar e integrar plataformas educativas que automaticen procesos académicos y administrativos.</t>
  </si>
  <si>
    <t>Programas académicos con enfoque global.</t>
  </si>
  <si>
    <t>3. Implementar auditorías de uso de plataformas.</t>
  </si>
  <si>
    <t xml:space="preserve">Área Académica / E - learning / OTI </t>
  </si>
  <si>
    <t>Competencias globales y pensamiento crítico:</t>
  </si>
  <si>
    <t>Integración transversal en programas.</t>
  </si>
  <si>
    <t>Consultar con OTI - Anthony Robles</t>
  </si>
  <si>
    <t>3. Coordinar con facultades para integración curricular.</t>
  </si>
  <si>
    <t>- Programas académicos con enfoque global.</t>
  </si>
  <si>
    <t>Implementar protocolos de seguridad y contingencia tecnológica.</t>
  </si>
  <si>
    <t>1. Diseñar protocolos de recuperación de datos.</t>
  </si>
  <si>
    <t>Indicadores claros de aprendizaje.</t>
  </si>
  <si>
    <t>OTI</t>
  </si>
  <si>
    <t>Entregable: Inclusión y Diversidad</t>
  </si>
  <si>
    <t>2. Implementar firewalls y sistemas anti-hackeo.</t>
  </si>
  <si>
    <t>Políticas institucionales vigentes.</t>
  </si>
  <si>
    <t>Inclusión y diversidad:</t>
  </si>
  <si>
    <t>Políticas institucionales difundidas.</t>
  </si>
  <si>
    <t>3. Realizar simulacros anuales de contingencia.</t>
  </si>
  <si>
    <t>Página web</t>
  </si>
  <si>
    <t>1. Capacitar a estudiantes en ciberseguridad básica.</t>
  </si>
  <si>
    <t>Servicios al estudiante</t>
  </si>
  <si>
    <t>Capacitación para docentes y personal administrativo.</t>
  </si>
  <si>
    <t>2. Implementar canal de soporte técnico 24/7.</t>
  </si>
  <si>
    <t>Entregable: Ética Institucional</t>
  </si>
  <si>
    <t>Informes de talleres y capacitaciones.</t>
  </si>
  <si>
    <t>Ética institucional:</t>
  </si>
  <si>
    <t>Políticas contra la discriminación.</t>
  </si>
  <si>
    <t>3. Crear encuestas de confianza digital en usuarios.</t>
  </si>
  <si>
    <t>https://blackwell.university/es/no-discriminacion/</t>
  </si>
  <si>
    <t>Capacitar a docentes y personal en uso avanzado de plataformas educativas.</t>
  </si>
  <si>
    <t>1. Diseñar cursos introductorios al LMS para docentes.</t>
  </si>
  <si>
    <t>Área Académica / E - learning</t>
  </si>
  <si>
    <t>2. Establecer laboratorios de práctica tecnológica.</t>
  </si>
  <si>
    <t>Espacios de identidad y pertenencia.</t>
  </si>
  <si>
    <t>3. Generar tutoriales y manuales digitales.</t>
  </si>
  <si>
    <t>No. 8: Apoyo Financiero</t>
  </si>
  <si>
    <t>Mantener becas, subsidios y financiamiento sostenible.</t>
  </si>
  <si>
    <t>Entregable: Becas para comunidades vulnerables</t>
  </si>
  <si>
    <t>Política de Becas</t>
  </si>
  <si>
    <t>1. Ofrecer certificaciones cortas en enseñanza online.</t>
  </si>
  <si>
    <t>Becas para comunidades vulnerables:</t>
  </si>
  <si>
    <t>Políticas claras y campañas de sensibilización.</t>
  </si>
  <si>
    <t>ceu</t>
  </si>
  <si>
    <t>2. Crear talleres de actualización tecnológica cada año.</t>
  </si>
  <si>
    <t>Política clara en la PM.PO.35 y difundida en el catálogo publicado en el sitio web institucional.</t>
  </si>
  <si>
    <t>PM.PO.35 Scholarships and Grants Rev. 01 (Becas y Subvenciones)</t>
  </si>
  <si>
    <t>3. Promover MOOC internos sobre nuevas herramientas.</t>
  </si>
  <si>
    <t>Becas para estudiantes de alto potencial:</t>
  </si>
  <si>
    <t>Políticas transparentes de asignación.</t>
  </si>
  <si>
    <t>Posicionamiento Global</t>
  </si>
  <si>
    <t>Becas otorgadas con base en mérito.</t>
  </si>
  <si>
    <t>Ofrecer oportunidades a estudiantes, alumni, profesorado y staff mediante colaboración local, regional y global con empresas y entidades educativas.</t>
  </si>
  <si>
    <t>Solo se han otorgado becas Elizabeth Blackwell Grant</t>
  </si>
  <si>
    <t>E6. Generar alianzas estratégicas locales, regionales e internacionales para incrementar visibilidad, ampliar colaboración y reconocimiento global.</t>
  </si>
  <si>
    <t>Reporte consolidado de Blackwell Global University</t>
  </si>
  <si>
    <t>Entregable: Financiamiento y Donantes</t>
  </si>
  <si>
    <t>Informe de Donaciones y Financiamiento</t>
  </si>
  <si>
    <t>Identificar redes y organizaciones clave a nivel internacional para alianzas.</t>
  </si>
  <si>
    <t>1. Elaborar un mapa de actores estratégicos en América y Europa.</t>
  </si>
  <si>
    <t>Financiamiento y donantes:</t>
  </si>
  <si>
    <t>Fondos de becas creados.</t>
  </si>
  <si>
    <t>En el último período académico se obtuvieron USD 3.09 millones en fondos de becas.</t>
  </si>
  <si>
    <t>Conforme a lo previsto en el indicador del Plan de Efectividad, Apoyo Económico - Fondos asignados a Becas y Subsidios ≥ USD 3.6M.</t>
  </si>
  <si>
    <t>2. Crear un sistema de priorización de alianzas según impacto potencial.</t>
  </si>
  <si>
    <t>Convenios con instituciones financieras.</t>
  </si>
  <si>
    <t>No aplica</t>
  </si>
  <si>
    <t>3. Difundir informes de mercado con oportunidades de vinculación.</t>
  </si>
  <si>
    <t>Facilidades de pago para estudiantes.</t>
  </si>
  <si>
    <t>Financiamiento en cuotas</t>
  </si>
  <si>
    <t>Estados de cuenta activos</t>
  </si>
  <si>
    <t>1. Identificar asociaciones académicas internacionales por disciplina.</t>
  </si>
  <si>
    <t>No. 9: Diferenciación del Producto</t>
  </si>
  <si>
    <t>Desarrollar productos innovadores que respondan a necesidades específicas del mercado.</t>
  </si>
  <si>
    <t>Entregable: Desarrollo de Producto</t>
  </si>
  <si>
    <t>Nuevos Programas Diseñados</t>
  </si>
  <si>
    <t>2. Contactar con redes de investigación y acreditación.</t>
  </si>
  <si>
    <t>Desarrollo de producto:</t>
  </si>
  <si>
    <t>Identificación de tendencias y necesidades.</t>
  </si>
  <si>
    <t>3. Generar reportes anuales de oportunidades de colaboración académica.</t>
  </si>
  <si>
    <t>Se realizan campañas de prueba de mercado mediante Facebook Ads.</t>
  </si>
  <si>
    <t>Encuesta de Demanda Educativa (LQ)</t>
  </si>
  <si>
    <t>Firmar convenios de cooperación académica y profesional con objetivos medibles.</t>
  </si>
  <si>
    <t>1. Diseñar modelos financieros para sostenibilidad de convenios.</t>
  </si>
  <si>
    <r>
      <rPr/>
      <t xml:space="preserve">Others teams: </t>
    </r>
    <r>
      <rPr>
        <color rgb="FF1155CC"/>
        <u/>
      </rPr>
      <t>https://drive.google.com/file/d/1HfgXLErCgFJ4D13yD5A7S39RyYCq6XwG/view</t>
    </r>
  </si>
  <si>
    <t>Programas alineados con competencias clave.</t>
  </si>
  <si>
    <t>German Saavedra</t>
  </si>
  <si>
    <t>2. Establecer fondos de cofinanciamiento con socios externos.</t>
  </si>
  <si>
    <t>Convenios con aportes compartidos entre BGU y aliados (IISHS, IDESIE, TEP, etc).</t>
  </si>
  <si>
    <t>Entregable: Impacto del Producto</t>
  </si>
  <si>
    <t>3. Implementar auditorías de ejecución de convenios.</t>
  </si>
  <si>
    <t>Informes de Métricas de Impacto</t>
  </si>
  <si>
    <t>Pendiente de evidencia</t>
  </si>
  <si>
    <t>Solicitar a SGC: Informes de auditoría al área de Convenios.</t>
  </si>
  <si>
    <t>Impacto del producto:</t>
  </si>
  <si>
    <t>Evaluación de impacto con métricas y satisfacción estudiantil.</t>
  </si>
  <si>
    <t>1. Negociar convenios de movilidad docente y estudiantil.</t>
  </si>
  <si>
    <t>2. Firmar acuerdos de doble titulación.</t>
  </si>
  <si>
    <t>Las encuestas de satisfacción se administran al finalizar el curso, anualmente y al momento de la graduación.</t>
  </si>
  <si>
    <t>3. Formalizar convenios de investigación conjunta.</t>
  </si>
  <si>
    <t>Entregable: Posicionamiento del Producto</t>
  </si>
  <si>
    <t>Estrategias de Marketing Implementadas</t>
  </si>
  <si>
    <t>Posicionamiento del producto:</t>
  </si>
  <si>
    <t>Estrategias efectivas de marketing.</t>
  </si>
  <si>
    <t>Promover la participación de la comunidad BGU en ferias, foros y eventos globales.</t>
  </si>
  <si>
    <t>1. Participar en ferias virtuales y presenciales de educación internacional.</t>
  </si>
  <si>
    <t>Participación en las Ferias Presenciales de ESCALO - Lima</t>
  </si>
  <si>
    <t>2. Crear stands digitales para representar a BGU en eventos.</t>
  </si>
  <si>
    <t>Atendido por Paola Velarde</t>
  </si>
  <si>
    <t>Plan de Marketing de Blackwell V1</t>
  </si>
  <si>
    <t>3. Documentar casos de éxito y difundirlos en redes institucionales.</t>
  </si>
  <si>
    <r>
      <rPr/>
      <t xml:space="preserve">Casos de éxito: </t>
    </r>
    <r>
      <rPr>
        <color rgb="FF1155CC"/>
        <u/>
      </rPr>
      <t xml:space="preserve">https://drive.google.com/drive/folders/1AzQukxNvHgZCHyvgwvDQqAZgzSD4lyJm
</t>
    </r>
    <r>
      <rPr/>
      <t xml:space="preserve">Evidencia: </t>
    </r>
    <r>
      <rPr>
        <color rgb="FF1155CC"/>
        <u/>
      </rPr>
      <t>https://drive.google.com/drive/folders/1-H4-9QMvC6REPW1G0FmLZfSfVlpf4Qmd?usp=drive_link</t>
    </r>
  </si>
  <si>
    <t>Canales digitales y presenciales de generación de leads.</t>
  </si>
  <si>
    <t>1. Organizar delegaciones estudiantiles para ferias internacionales.</t>
  </si>
  <si>
    <t>https://es.linkedin.com/posts/blackwell-global-university_blackwell-global-university-presente-activity-7469856343982649344-1zXq</t>
  </si>
  <si>
    <t>BGU formó parte del proyecto internacional New Business Leaders for the New World (NBL2), desarrollado en Polonia y organizado por la Warsaw School of Economics (SGH).</t>
  </si>
  <si>
    <t>2. Crear un programa de liderazgo estudiantil global.</t>
  </si>
  <si>
    <t>3. Dar soporte logístico a la movilidad de estudiantes y staff.</t>
  </si>
  <si>
    <t>Alimentar una cultura universitaria que represente la identidad de BGU, reconocida por principios éticos, pertenencia, inclusión y compromiso con la comunidad.</t>
  </si>
  <si>
    <t>E7. Fomentar competencias globales y pensamiento crítico mediante un modelo inclusivo y diverso, sustentado en principios éticos e identidad BGU.</t>
  </si>
  <si>
    <t>Incorporar competencias globales y pensamiento crítico transversalmente en los programas.</t>
  </si>
  <si>
    <t>1. Crear talleres extracurriculares de liderazgo inclusivo.</t>
  </si>
  <si>
    <t>2. Establecer clubes estudiantiles con enfoque intercultural.</t>
  </si>
  <si>
    <t>3. Coordinar mentorías entre estudiantes nacionales e internacionales.</t>
  </si>
  <si>
    <t>No se dan entre estudaintes</t>
  </si>
  <si>
    <t>1. Integrar asignaturas transversales sobre ética y ciudadanía global.</t>
  </si>
  <si>
    <t>2. Desarrollar rúbricas de evaluación de pensamiento crítico.</t>
  </si>
  <si>
    <t>3. Incorporar proyectos de aprendizaje–servicio en los programas.</t>
  </si>
  <si>
    <t>Crear políticas institucionales de inclusión, prevención de discriminación y gestión de diversidad.</t>
  </si>
  <si>
    <t>2. Financiar programas de becas específicas para minorías.</t>
  </si>
  <si>
    <r>
      <rPr/>
      <t xml:space="preserve">Beca Opportunity
</t>
    </r>
    <r>
      <rPr>
        <color rgb="FF1155CC"/>
        <u/>
      </rPr>
      <t>https://docs.google.com/spreadsheets/d/1DO8PuDas2OPdtnPAeii96zm_4h5Y1EgL4TFvRVCwZPo/edit?gid=72753164#gid=72753164</t>
    </r>
  </si>
  <si>
    <t>3. Crear un comité de ética y diversidad con recursos asignados.</t>
  </si>
  <si>
    <t>Crear el comité de ética</t>
  </si>
  <si>
    <t>2. Crear programas de sensibilización para toda la comunidad.</t>
  </si>
  <si>
    <t>3. Publicar anualmente un informe de diversidad e inclusión.</t>
  </si>
  <si>
    <t>Organizar espacios comunitarios que refuercen identidad, pertenencia y compromiso social.</t>
  </si>
  <si>
    <t>1. Difundir campañas institucionales sobre identidad BGU.</t>
  </si>
  <si>
    <t>https://drive.google.com/drive/folders/1G-n3CW466rprug8EBOfzQkkpgGefSpD_</t>
  </si>
  <si>
    <t>2. Promover testimonios de estudiantes y alumni como embajadores de cultura.</t>
  </si>
  <si>
    <r>
      <rPr/>
      <t xml:space="preserve">Casos de éxito: </t>
    </r>
    <r>
      <rPr>
        <color rgb="FF1155CC"/>
        <u/>
      </rPr>
      <t xml:space="preserve">https://drive.google.com/drive/folders/1AzQukxNvHgZCHyvgwvDQqAZgzSD4lyJm
</t>
    </r>
    <r>
      <rPr/>
      <t xml:space="preserve">Evidencia: </t>
    </r>
    <r>
      <rPr>
        <color rgb="FF1155CC"/>
        <u/>
      </rPr>
      <t>https://drive.google.com/drive/folders/1-H4-9QMvC6REPW1G0FmLZfSfVlpf4Qmd?usp=drive_link</t>
    </r>
  </si>
  <si>
    <t>3. Publicar boletines digitales que refuercen la identidad universitaria.</t>
  </si>
  <si>
    <t>solicitar a marggiory (fondos de pantalla)</t>
  </si>
  <si>
    <t>1. Organizar encuentros culturales anuales que fortalezcan identidad BGU.</t>
  </si>
  <si>
    <t>Servicios al Estudiante</t>
  </si>
  <si>
    <t>BGU Around the World o Show Your City To Bgu</t>
  </si>
  <si>
    <t>2. Crear un “Foro de la Comunidad BGU” semestral.</t>
  </si>
  <si>
    <t>3. Implementar un programa de voluntariado comunitario.</t>
  </si>
  <si>
    <t>Global Volunteers BGU</t>
  </si>
  <si>
    <t>Apoyo Económico</t>
  </si>
  <si>
    <t>Búsqueda constante de alternativas de acceso y apoyo a estudiantes y alumni, basada en mérito académico y alineamiento con la cultura BGU.</t>
  </si>
  <si>
    <t>E8. Mantener un programa sostenible de becas, subsidios y financiamiento para ampliar acceso, priorizando mérito y afinidad cultural.</t>
  </si>
  <si>
    <t>Difundir convocatorias de becas y apoyos en comunidades locales e internacionales.</t>
  </si>
  <si>
    <t>2. Ejecutar campañas dirigidas a comunidades vulnerables.</t>
  </si>
  <si>
    <r>
      <rPr/>
      <t xml:space="preserve">Beca Oportunity: </t>
    </r>
    <r>
      <rPr>
        <color rgb="FF1155CC"/>
        <u/>
      </rPr>
      <t>https://drive.google.com/drive/folders/1dDxXl5z6c_u4U72VuLNAvdQ3BVD2IzkQ</t>
    </r>
  </si>
  <si>
    <t>3. Usar redes sociales y embajadores para promocionar becas.</t>
  </si>
  <si>
    <t>2. Organizar talleres de postulación para estudiantes interesados.</t>
  </si>
  <si>
    <t>3. Implementar un centro de consultas virtual de apoyo financiero.</t>
  </si>
  <si>
    <t>Establecer un fondo de becas meritocrático con apoyo de instituciones financieras y donantes.</t>
  </si>
  <si>
    <t>1. Crear un fideicomiso específico para becas meritocráticas.</t>
  </si>
  <si>
    <t>No hemos otorgado fideicomiso a bancos o empresas, para fines de becas.</t>
  </si>
  <si>
    <t>2. Negociar convenios con bancos y fundaciones internacionales.</t>
  </si>
  <si>
    <t>Se consulto con convenios y actualmente no tenemos convenios con bancos</t>
  </si>
  <si>
    <t>Consultar con Convenios-Admisión, si cuentan con ello o no.</t>
  </si>
  <si>
    <t>3. Publicar reportes financieros anuales de transparencia.</t>
  </si>
  <si>
    <t>No se ha subido información financiera a la web.</t>
  </si>
  <si>
    <t>1. Definir criterios académicos para la elegibilidad de becas.</t>
  </si>
  <si>
    <t>2. Evaluar el desempeño académico de los becarios.</t>
  </si>
  <si>
    <t>3. Certificar la vinculación de becas con proyectos académicos.</t>
  </si>
  <si>
    <t>Implementar un sistema de seguimiento para evaluar impacto académico y cultural de beneficiarios.</t>
  </si>
  <si>
    <t>1. Controlar el uso correcto de fondos asignados a becas.</t>
  </si>
  <si>
    <r>
      <rPr/>
      <t xml:space="preserve">Reporte Consolidado de Admisión: </t>
    </r>
    <r>
      <rPr>
        <color rgb="FF1155CC"/>
        <u/>
      </rPr>
      <t>https://docs.google.com/spreadsheets/d/1D3xU22BJJ-9-PmpUytOa9QaXz1SqTwSGFxc5l8YFYfw/edit?gid=1396614406#gid=1396614406</t>
    </r>
  </si>
  <si>
    <t>GRANT - Subvención 25, 50 Y 75 % , 80% en MBA</t>
  </si>
  <si>
    <t>2. Auditar los procesos de asignación de apoyo financiero.</t>
  </si>
  <si>
    <t>Informe de Auditoría a Admisión y Cobranzas</t>
  </si>
  <si>
    <t>Informe de Auditoría a Admisión y Cobranzas, para revisar si las Subvenciones otorgadas a los estudiantes fueron asignadas correctamente, considerando que todos han recibido el Grant Elizabeth Blackwell</t>
  </si>
  <si>
    <t>3. Elaborar reportes de sostenibilidad del programa de becas.</t>
  </si>
  <si>
    <r>
      <rPr/>
      <t xml:space="preserve">Reporte Consolidado de Admisión: </t>
    </r>
    <r>
      <rPr>
        <color rgb="FF1155CC"/>
        <u/>
      </rPr>
      <t>https://docs.google.com/spreadsheets/d/1D3xU22BJJ-9-PmpUytOa9QaXz1SqTwSGFxc5l8YFYfw/edit?gid=1396614406#gid=1396614406</t>
    </r>
  </si>
  <si>
    <t>Reporte de estudiantes que recibieron y mantienen su Grant E.B.</t>
  </si>
  <si>
    <t>1. Implementar encuestas semestrales a becarios y alumni beneficiados.</t>
  </si>
  <si>
    <t>Servicios al Estudiante / OTI</t>
  </si>
  <si>
    <t xml:space="preserve">Se propone adecuar encuesta Alumni: </t>
  </si>
  <si>
    <t>100% por Grants</t>
  </si>
  <si>
    <t>2. Diseñar indicadores de impacto social y cultural de las becas.</t>
  </si>
  <si>
    <t>Servicios al Estudiante / SGC</t>
  </si>
  <si>
    <t>"Persistencia de beneficiarios de apoyo" adicionalmente propongo "Cobertura del programa de apoyo económico" "Tasa de Graduación de beneficiarios" y Empleabilidad de beneficiarios.</t>
  </si>
  <si>
    <t>3. Generar un dashboard de monitoreo en tiempo real.</t>
  </si>
  <si>
    <t>Acción estratégica</t>
  </si>
  <si>
    <t>Acciones especificas</t>
  </si>
  <si>
    <t>KPI</t>
  </si>
  <si>
    <t>META</t>
  </si>
  <si>
    <t>Responsable ERP</t>
  </si>
  <si>
    <t>Fuente</t>
  </si>
  <si>
    <t>E1. Portafolio Académico</t>
  </si>
  <si>
    <t>E1.1-AE1</t>
  </si>
  <si>
    <t>Diseñar un portafolio 
académico 
multilingüe alineado 
con la demanda local 
e internacional y 
gestionar las 
autorizaciones 
correspondientes.</t>
  </si>
  <si>
    <r>
      <rPr>
        <rFont val="Carlito"/>
        <b/>
        <color theme="1"/>
      </rPr>
      <t>Administración y Finanzas</t>
    </r>
    <r>
      <rPr>
        <rFont val="Carlito"/>
        <color theme="1"/>
      </rPr>
      <t xml:space="preserve">: asignar presupuesto anual para diseño y validación; contratar traducción y certificación; auditar costos y sostenibilidad
</t>
    </r>
    <r>
      <rPr>
        <rFont val="Carlito"/>
        <b/>
        <color theme="1"/>
      </rPr>
      <t>Asuntos Académicos:</t>
    </r>
    <r>
      <rPr>
        <rFont val="Carlito"/>
        <color theme="1"/>
      </rPr>
      <t xml:space="preserve"> diseñar planes de estudio bajo estándares aplicables; gestionar licencias y autorizaciones; convocar comités académicos externos para validar pertinencia.</t>
    </r>
  </si>
  <si>
    <t>Documento CIE</t>
  </si>
  <si>
    <t>Oferta efectiva de
programas</t>
  </si>
  <si>
    <t xml:space="preserve">
E1-K4
</t>
  </si>
  <si>
    <t>Curriculum review /
advisory</t>
  </si>
  <si>
    <t xml:space="preserve">E1.1-AE2
</t>
  </si>
  <si>
    <t>Establecer alianzas 
con universidades 
extranjeras para el 
codiseño de 
programas.</t>
  </si>
  <si>
    <r>
      <rPr>
        <rFont val="Carlito"/>
        <b/>
        <color theme="1"/>
      </rPr>
      <t>Admisiones/Marketing:</t>
    </r>
    <r>
      <rPr>
        <rFont val="Carlito"/>
        <color theme="1"/>
      </rPr>
      <t xml:space="preserve"> promover alianzas en mercados estratégicos;organizar webinars conjuntos; desarrollar materiales sobre beneficios de los acuerdos.
</t>
    </r>
    <r>
      <rPr>
        <rFont val="Carlito"/>
        <b/>
        <color theme="1"/>
      </rPr>
      <t xml:space="preserve">Asuntos Académicos: </t>
    </r>
    <r>
      <rPr>
        <rFont val="Carlito"/>
        <color theme="1"/>
      </rPr>
      <t>identificar universidades con programas complementarios y acreditaciones pertinentes; diseñar programas conjuntos y movilidad; formalizar acuerdos con metas e indicadores de impacto.</t>
    </r>
  </si>
  <si>
    <t xml:space="preserve">E5-K1
</t>
  </si>
  <si>
    <t>Acuerdos/membresías
activos</t>
  </si>
  <si>
    <t>Admissions and Marketing</t>
  </si>
  <si>
    <t xml:space="preserve">E5-K2
</t>
  </si>
  <si>
    <t>Acuerdos con impacto
documentado</t>
  </si>
  <si>
    <t xml:space="preserve">E1.1-AE3
</t>
  </si>
  <si>
    <t>Implementar 
campañas multicanal 
de captación en 
mercados 
específicos con 
equipos 
especializados de 
admisiones.</t>
  </si>
  <si>
    <r>
      <rPr>
        <rFont val="Carlito"/>
        <b/>
        <color theme="1"/>
      </rPr>
      <t>Administración y Finanzas:</t>
    </r>
    <r>
      <rPr>
        <rFont val="Carlito"/>
        <color theme="1"/>
      </rPr>
      <t xml:space="preserve"> financiar campañas según ROI proyectado; establecer controles sobre inversión; administrar contratos y pagos a agencias.
</t>
    </r>
    <r>
      <rPr>
        <rFont val="Carlito"/>
        <b/>
        <color theme="1"/>
      </rPr>
      <t>Admisiones/Marketing:</t>
    </r>
    <r>
      <rPr>
        <rFont val="Carlito"/>
        <color theme="1"/>
      </rPr>
      <t xml:space="preserve"> ejecutar campañas segmentadas; capacitar al equipo en reclutamiento global; utilizar CRM para seguimiento de prospectos y conversiones</t>
    </r>
  </si>
  <si>
    <t>Admisiones
angloparlantes</t>
  </si>
  <si>
    <t xml:space="preserve">E1.2-AE1
</t>
  </si>
  <si>
    <t>Diseñar un portafolio 
multilingüe de 
educación continua 
basado en 
tendencias y 
necesidades del 
mercado.</t>
  </si>
  <si>
    <r>
      <rPr>
        <rFont val="Carlito"/>
        <b/>
        <color theme="1"/>
      </rPr>
      <t xml:space="preserve">Administración y Finanzas: </t>
    </r>
    <r>
      <rPr>
        <rFont val="Carlito"/>
        <color theme="1"/>
      </rPr>
      <t xml:space="preserve">asignar fondos para contenidos y expertos; negociar validaciones externas; monitorear rentabilidad de cada curso.
</t>
    </r>
    <r>
      <rPr>
        <rFont val="Carlito"/>
        <b/>
        <color theme="1"/>
      </rPr>
      <t>Educación Continua:</t>
    </r>
    <r>
      <rPr>
        <rFont val="Carlito"/>
        <color theme="1"/>
      </rPr>
      <t xml:space="preserve"> analizar tendencias laborales; diseñar microcredenciales en áreas de alta demanda; evaluar pilotos con retroalimentación empresarial.</t>
    </r>
  </si>
  <si>
    <t xml:space="preserve">E1-K1
</t>
  </si>
  <si>
    <t xml:space="preserve">E1-K2
</t>
  </si>
  <si>
    <t xml:space="preserve">E1.2-AE2
</t>
  </si>
  <si>
    <t>Suscribir acuerdos 
con entidades 
internacionales para 
intercambio de 
expertos y desarrollo 
conjunto de cursos.</t>
  </si>
  <si>
    <r>
      <rPr>
        <rFont val="Carlito"/>
        <b/>
        <color theme="1"/>
      </rPr>
      <t>Admisiones/Marketing:</t>
    </r>
    <r>
      <rPr>
        <rFont val="Carlito"/>
        <color theme="1"/>
      </rPr>
      <t xml:space="preserve"> promover la oferta ante empresas multinacionales; crear catálogos bilingües; difundir testimonios verificables.
</t>
    </r>
    <r>
      <rPr>
        <rFont val="Carlito"/>
        <b/>
        <color theme="1"/>
      </rPr>
      <t>Educación Continua:</t>
    </r>
    <r>
      <rPr>
        <rFont val="Carlito"/>
        <color theme="1"/>
      </rPr>
      <t xml:space="preserve"> establecer acuerdos con cámaras y asociaciones; invitar expertos; desarrollar programas con organizaciones profesionales globales.</t>
    </r>
  </si>
  <si>
    <t>E1.2-AE3</t>
  </si>
  <si>
    <t>Ejecutar campañas 
digitales 
segmentadas para 
posicionar la 
educación continua 
en nuevos 
mercados.</t>
  </si>
  <si>
    <r>
      <rPr>
        <rFont val="Carlito"/>
        <b/>
        <color theme="1"/>
      </rPr>
      <t>Administración y Finanzas:</t>
    </r>
    <r>
      <rPr>
        <rFont val="Carlito"/>
        <color theme="1"/>
      </rPr>
      <t xml:space="preserve"> financiar campañas con métricas de alcance y rentabilidad; medir costo de adquisición; supervisar contratos de marketing. 
</t>
    </r>
    <r>
      <rPr>
        <rFont val="Carlito"/>
        <b/>
        <color theme="1"/>
      </rPr>
      <t>Admis/Marketing:</t>
    </r>
    <r>
      <rPr>
        <rFont val="Carlito"/>
        <color theme="1"/>
      </rPr>
      <t xml:space="preserve"> diseñar campañas por sector; optimizar SEO; implementar remarketing y seguimiento en CRM.</t>
    </r>
  </si>
  <si>
    <t xml:space="preserve">E2. Claustro académico
</t>
  </si>
  <si>
    <t xml:space="preserve">E2-AE1
</t>
  </si>
  <si>
    <t>Implementar 
campañas 
específicas para 
atraer faculty 
internacional de 
reconocido prestigio.</t>
  </si>
  <si>
    <r>
      <rPr>
        <rFont val="Carlito"/>
        <b/>
        <color theme="1"/>
      </rPr>
      <t>Admisiones/Marketing:</t>
    </r>
    <r>
      <rPr>
        <rFont val="Carlito"/>
        <color theme="1"/>
      </rPr>
      <t xml:space="preserve"> publicar convocatorias en redes académicas; promover oportunidades docentes; mantener una base de prospectos.
</t>
    </r>
    <r>
      <rPr>
        <rFont val="Carlito"/>
        <b/>
        <color theme="1"/>
      </rPr>
      <t xml:space="preserve">Asuntos Académicos: </t>
    </r>
    <r>
      <rPr>
        <rFont val="Carlito"/>
        <color theme="1"/>
      </rPr>
      <t>identificar perfiles en asociaciones; coordinar invitaciones; establecer comités de evaluación y verificación de credenciales.</t>
    </r>
  </si>
  <si>
    <t>Faculty con credenciales
verificadas</t>
  </si>
  <si>
    <t>Registros de credenciales</t>
  </si>
  <si>
    <t xml:space="preserve">E2-AE2
</t>
  </si>
  <si>
    <t>Ofrecer incentivos 
económicos y no 
económicos, 
incluyendo 
participación en 
redes y foros 
internacionales.</t>
  </si>
  <si>
    <r>
      <rPr>
        <rFont val="Carlito"/>
        <b/>
        <color theme="1"/>
      </rPr>
      <t>Administración y Finanzas:</t>
    </r>
    <r>
      <rPr>
        <rFont val="Carlito"/>
        <color theme="1"/>
      </rPr>
      <t xml:space="preserve"> diseñar bonos por desempeño; becas de formación; beneficios de bienestar.
</t>
    </r>
    <r>
      <rPr>
        <rFont val="Carlito"/>
        <b/>
        <color theme="1"/>
      </rPr>
      <t>Asuntos Académicos:</t>
    </r>
    <r>
      <rPr>
        <rFont val="Carlito"/>
        <color theme="1"/>
      </rPr>
      <t xml:space="preserve"> promover presencia en redes y foros; investigación colaborativa; publicaciones institucionales con faculty.</t>
    </r>
  </si>
  <si>
    <t>End of Course Survey</t>
  </si>
  <si>
    <t xml:space="preserve">E2-AE3
</t>
  </si>
  <si>
    <t>Establecer un 
programa integral y 
continuo de 
desarrollo del faculty.</t>
  </si>
  <si>
    <r>
      <rPr>
        <rFont val="Carlito"/>
        <b/>
        <color theme="1"/>
      </rPr>
      <t xml:space="preserve">Asuntos Académicos: </t>
    </r>
    <r>
      <rPr>
        <rFont val="Carlito"/>
        <color theme="1"/>
      </rPr>
      <t xml:space="preserve">talleres semestrales de innovación pedagógica; certificaciones en tecnología educativa; formación en metodologías activas.
</t>
    </r>
    <r>
      <rPr>
        <rFont val="Carlito"/>
        <b/>
        <color theme="1"/>
      </rPr>
      <t xml:space="preserve">Educación Continua: </t>
    </r>
    <r>
      <rPr>
        <rFont val="Carlito"/>
        <color theme="1"/>
      </rPr>
      <t>diplomas especializados; mentoring interfaculty; actualización en tendencias globales.</t>
    </r>
  </si>
  <si>
    <t xml:space="preserve">E3. Capital humano administratvo
</t>
  </si>
  <si>
    <t>E3-AE1</t>
  </si>
  <si>
    <t>Reclutar talento 
administrativo 
multilingüe con 
experiencia global.</t>
  </si>
  <si>
    <r>
      <rPr>
        <rFont val="Carlito"/>
        <b/>
        <color theme="1"/>
      </rPr>
      <t xml:space="preserve">Administración/HR: </t>
    </r>
    <r>
      <rPr>
        <rFont val="Carlito"/>
        <color theme="1"/>
      </rPr>
      <t xml:space="preserve">definir perfiles bilingües; aplicar selección por 
competencias globales; verificar dominio de idiomas.
</t>
    </r>
    <r>
      <rPr>
        <rFont val="Carlito"/>
        <b/>
        <color theme="1"/>
      </rPr>
      <t>Áreas usuarias:</t>
    </r>
    <r>
      <rPr>
        <rFont val="Carlito"/>
        <color theme="1"/>
      </rPr>
      <t xml:space="preserve"> participar en reclutamiento; ejecutar onboarding inclusivo; medir satisfacción y ajuste al puesto.</t>
    </r>
  </si>
  <si>
    <t xml:space="preserve">E3-K2
</t>
  </si>
  <si>
    <t xml:space="preserve">Staff capacitado
</t>
  </si>
  <si>
    <t>Administration Services and Finance</t>
  </si>
  <si>
    <t>HR Records</t>
  </si>
  <si>
    <t>E3-AE2</t>
  </si>
  <si>
    <t>Diseñar planes de 
carrera y beneficios 
competitivos para la 
retención del talento.</t>
  </si>
  <si>
    <r>
      <rPr>
        <rFont val="Carlito"/>
        <b/>
        <color theme="1"/>
      </rPr>
      <t>Administración/HR:</t>
    </r>
    <r>
      <rPr>
        <rFont val="Carlito"/>
        <color theme="1"/>
      </rPr>
      <t xml:space="preserve"> establecer escalas salariales; rutas de progresión; incentivos por desempeño.
</t>
    </r>
    <r>
      <rPr>
        <rFont val="Carlito"/>
        <b/>
        <color theme="1"/>
      </rPr>
      <t xml:space="preserve">Asuntos Académicos y áreas líderes: </t>
    </r>
    <r>
      <rPr>
        <rFont val="Carlito"/>
        <color theme="1"/>
      </rPr>
      <t>vincular el desarrollo administrativo con resultados académicos; formar en gestión universitaria; evaluar impacto del staff.</t>
    </r>
  </si>
  <si>
    <t xml:space="preserve">E3-AE3
</t>
  </si>
  <si>
    <t>Implementar 
programas internos 
de formación en 
innovación y 
competencias 
digitales.</t>
  </si>
  <si>
    <r>
      <rPr>
        <rFont val="Carlito"/>
        <b/>
        <color theme="1"/>
      </rPr>
      <t xml:space="preserve">Student Services/Administración: </t>
    </r>
    <r>
      <rPr>
        <rFont val="Carlito"/>
        <color theme="1"/>
      </rPr>
      <t xml:space="preserve">talleres de innovación 
administrativa; formación en atención digital; sistema continuo de feedback.
</t>
    </r>
    <r>
      <rPr>
        <rFont val="Carlito"/>
        <b/>
        <color theme="1"/>
      </rPr>
      <t>Educación Continua:</t>
    </r>
    <r>
      <rPr>
        <rFont val="Carlito"/>
        <color theme="1"/>
      </rPr>
      <t xml:space="preserve"> cursos de herramientas tecnológicas; certificaciones internas; actualización bienal del currículo de capacitación.</t>
    </r>
  </si>
  <si>
    <t xml:space="preserve">E3-K3
</t>
  </si>
  <si>
    <t>Resolución en primer
contacto</t>
  </si>
  <si>
    <t>Student Services</t>
  </si>
  <si>
    <t>Tiempo medio de
respuesta</t>
  </si>
  <si>
    <t>6 horas</t>
  </si>
  <si>
    <t>E4. Plataformas Tecnológicas</t>
  </si>
  <si>
    <t>E4-AE1</t>
  </si>
  <si>
    <t>Desarrollar e integrar 
plataformas que 
automaticen 
procesos 
académicos y 
administrativos.</t>
  </si>
  <si>
    <r>
      <rPr>
        <rFont val="Carlito"/>
        <b/>
        <color theme="1"/>
      </rPr>
      <t xml:space="preserve">Administración y Finanzas: </t>
    </r>
    <r>
      <rPr>
        <rFont val="Carlito"/>
        <color theme="1"/>
      </rPr>
      <t xml:space="preserve">gestionar presupuesto tecnológico; negociar licencias; auditar uso y costos.
</t>
    </r>
    <r>
      <rPr>
        <rFont val="Carlito"/>
        <b/>
        <color theme="1"/>
      </rPr>
      <t xml:space="preserve">Asuntos Académicos: </t>
    </r>
    <r>
      <rPr>
        <rFont val="Carlito"/>
        <color theme="1"/>
      </rPr>
      <t>seleccionar LMS conforme a requisitos; diseñar funcionalidades adaptativas basadas en evidencia; integrar tecnología al currículo.</t>
    </r>
  </si>
  <si>
    <t xml:space="preserve">E4-K1
</t>
  </si>
  <si>
    <t>Uptime de sistemas
críticos</t>
  </si>
  <si>
    <t>Procesos automatizados
acumulados</t>
  </si>
  <si>
    <t xml:space="preserve">E4-AE2
</t>
  </si>
  <si>
    <t>Implementar 
protocolos de 
seguridad y 
contingencia 
tecnológica.</t>
  </si>
  <si>
    <r>
      <rPr>
        <rFont val="Carlito"/>
        <b/>
        <color theme="1"/>
      </rPr>
      <t xml:space="preserve">Administración/TI: </t>
    </r>
    <r>
      <rPr>
        <rFont val="Carlito"/>
        <color theme="1"/>
      </rPr>
      <t xml:space="preserve">protocolos de recuperación; firewalls y controles de protección; simulacros anuales de contingencia.
</t>
    </r>
    <r>
      <rPr>
        <rFont val="Carlito"/>
        <b/>
        <color theme="1"/>
      </rPr>
      <t xml:space="preserve">Student Services: </t>
    </r>
    <r>
      <rPr>
        <rFont val="Carlito"/>
        <color theme="1"/>
      </rPr>
      <t>formación básica en ciberseguridad; soporte técnico continuo; encuestas de confianza digital.</t>
    </r>
  </si>
  <si>
    <t>Incidentes críticos de
seguridad</t>
  </si>
  <si>
    <t xml:space="preserve">E4-AE3
</t>
  </si>
  <si>
    <t>Capacitar a faculty y 
staff en el uso 
avanzado de 
plataformas 
educativas.</t>
  </si>
  <si>
    <r>
      <rPr>
        <rFont val="Carlito"/>
        <b/>
        <color theme="1"/>
      </rPr>
      <t>Asuntos Académicos:</t>
    </r>
    <r>
      <rPr>
        <rFont val="Carlito"/>
        <color theme="1"/>
      </rPr>
      <t xml:space="preserve"> cursos introductorios de LMS; laboratorios de práctica; tutoriales y manuales.
</t>
    </r>
    <r>
      <rPr>
        <rFont val="Carlito"/>
        <b/>
        <color theme="1"/>
      </rPr>
      <t>Educación Continua:</t>
    </r>
    <r>
      <rPr>
        <rFont val="Carlito"/>
        <color theme="1"/>
      </rPr>
      <t xml:space="preserve"> certificaciones en docencia online; talleres anuales de actualización; MOOCs internos sobre herramientas.</t>
    </r>
  </si>
  <si>
    <t>Satisfacción tecnológica
(1-5)</t>
  </si>
  <si>
    <t xml:space="preserve">E5. Posicionamiento global
</t>
  </si>
  <si>
    <t xml:space="preserve">E5-AE1
</t>
  </si>
  <si>
    <t>Identificar redes y 
organizaciones 
internacionales clave 
para establecer 
alianzas.</t>
  </si>
  <si>
    <r>
      <rPr>
        <rFont val="Carlito"/>
        <b/>
        <color theme="1"/>
      </rPr>
      <t xml:space="preserve">Admisiones/Marketing: </t>
    </r>
    <r>
      <rPr>
        <rFont val="Carlito"/>
        <color theme="1"/>
      </rPr>
      <t xml:space="preserve">mapear stakeholders en América y Europa; priorizar alianzas por impacto; difundir reportes de oportunidades.
</t>
    </r>
    <r>
      <rPr>
        <rFont val="Carlito"/>
        <b/>
        <color theme="1"/>
      </rPr>
      <t xml:space="preserve">Asuntos Académicos: </t>
    </r>
    <r>
      <rPr>
        <rFont val="Carlito"/>
        <color theme="1"/>
      </rPr>
      <t>identificar asociaciones por disciplina; relacionarse con redes académicas y de acreditación; reportar oportunidades de colaboración.</t>
    </r>
  </si>
  <si>
    <t xml:space="preserve">E5-K1
</t>
  </si>
  <si>
    <t xml:space="preserve">E5-AE2
</t>
  </si>
  <si>
    <t>Suscribir acuerdos 
de cooperación 
académica y 
profesional con 
objetivos medibles.</t>
  </si>
  <si>
    <r>
      <rPr>
        <rFont val="Carlito"/>
        <b/>
        <color theme="1"/>
      </rPr>
      <t>Administración y Finanzas:</t>
    </r>
    <r>
      <rPr>
        <rFont val="Carlito"/>
        <color theme="1"/>
      </rPr>
      <t xml:space="preserve"> modelos financieros de sostenibilidad; fondos de cofinanciamiento; auditoría de ejecución.
</t>
    </r>
    <r>
      <rPr>
        <rFont val="Carlito"/>
        <b/>
        <color theme="1"/>
      </rPr>
      <t xml:space="preserve">Asuntos Académicos: </t>
    </r>
    <r>
      <rPr>
        <rFont val="Carlito"/>
        <color theme="1"/>
      </rPr>
      <t>acuerdos de movilidad; dual degree cuando corresponda y sea autorizado; investigación conjunta.</t>
    </r>
  </si>
  <si>
    <t xml:space="preserve">E5-AE3
</t>
  </si>
  <si>
    <t>Promover la 
participación de la 
comunidad BGU en 
ferias, foros y 
eventos globales.</t>
  </si>
  <si>
    <r>
      <rPr>
        <rFont val="Carlito"/>
        <b/>
        <color theme="1"/>
      </rPr>
      <t xml:space="preserve">Admisiones/Marketing: </t>
    </r>
    <r>
      <rPr>
        <rFont val="Carlito"/>
        <color theme="1"/>
      </rPr>
      <t xml:space="preserve">participar en eventos; crear stands digitales; documentar y difundir casos de éxito.
</t>
    </r>
    <r>
      <rPr>
        <rFont val="Carlito"/>
        <b/>
        <color theme="1"/>
      </rPr>
      <t>Student Services:</t>
    </r>
    <r>
      <rPr>
        <rFont val="Carlito"/>
        <color theme="1"/>
      </rPr>
      <t xml:space="preserve"> organizar delegaciones; desarrollar liderazgo estudiantil global; brindar soporte logístico a la movilidad.</t>
    </r>
  </si>
  <si>
    <t xml:space="preserve">E6. Cultura universitaria
</t>
  </si>
  <si>
    <t xml:space="preserve">E6-AE1
</t>
  </si>
  <si>
    <t>Incorporar 
competencias 
globales y 
pensamiento crítico 
transversalmente en 
los programas 
académicos.</t>
  </si>
  <si>
    <r>
      <rPr>
        <rFont val="Carlito"/>
        <b/>
        <color theme="1"/>
      </rPr>
      <t>Student Services:</t>
    </r>
    <r>
      <rPr>
        <rFont val="Carlito"/>
        <color theme="1"/>
      </rPr>
      <t xml:space="preserve"> talleres de liderazgo inclusivo; clubes interculturales; mentoría entre estudiantes.
</t>
    </r>
    <r>
      <rPr>
        <rFont val="Carlito"/>
        <b/>
        <color theme="1"/>
      </rPr>
      <t>Asuntos Académicos:</t>
    </r>
    <r>
      <rPr>
        <rFont val="Carlito"/>
        <color theme="1"/>
      </rPr>
      <t xml:space="preserve"> integrar ética y ciudadanía global; desarrollar rúbricas de pensamiento crítico; incorporar service-learning cuando sea pertinente.</t>
    </r>
  </si>
  <si>
    <t xml:space="preserve">E6-K1
</t>
  </si>
  <si>
    <t>Índice de pertenencia e
inclusión</t>
  </si>
  <si>
    <t>Annual Survey</t>
  </si>
  <si>
    <t xml:space="preserve">E6-AE2
</t>
  </si>
  <si>
    <t>Desarrollar políticas 
institucionales de 
inclusión, no 
discriminación y 
gestión de la 
diversidad.</t>
  </si>
  <si>
    <r>
      <rPr>
        <rFont val="Carlito"/>
        <b/>
        <color theme="1"/>
      </rPr>
      <t>Administración/HR:</t>
    </r>
    <r>
      <rPr>
        <rFont val="Carlito"/>
        <color theme="1"/>
      </rPr>
      <t xml:space="preserve">  criterios inclusivos en  reclutamiento; apoyo 
focalizado sujeto a política; comité de ética y diversidad con recursos.
</t>
    </r>
    <r>
      <rPr>
        <rFont val="Carlito"/>
        <b/>
        <color theme="1"/>
      </rPr>
      <t>Student Services/Compliance:</t>
    </r>
    <r>
      <rPr>
        <rFont val="Carlito"/>
        <color theme="1"/>
      </rPr>
      <t xml:space="preserve"> protocolos de no discriminación; programas de sensibilización; informe anual de inclusión y diversidad.</t>
    </r>
  </si>
  <si>
    <t xml:space="preserve">E6-K1
</t>
  </si>
  <si>
    <t>Capacitación ética y
seguridad</t>
  </si>
  <si>
    <t>Complaints resueltos en
plazo</t>
  </si>
  <si>
    <t xml:space="preserve">Complaint log
</t>
  </si>
  <si>
    <t xml:space="preserve">E6-AE3
</t>
  </si>
  <si>
    <t>Organizar espacios 
comunitarios que 
fortalezcan identidad, 
pertenencia y 
compromiso social.</t>
  </si>
  <si>
    <r>
      <rPr>
        <rFont val="Carlito"/>
        <b/>
        <color theme="1"/>
      </rPr>
      <t>Admisiones/Marketing:</t>
    </r>
    <r>
      <rPr>
        <rFont val="Carlito"/>
        <color theme="1"/>
      </rPr>
      <t xml:space="preserve"> campañas de identidad; testimonios de estudiantes y alumni; newsletters institucionales.
</t>
    </r>
    <r>
      <rPr>
        <rFont val="Carlito"/>
        <b/>
        <color theme="1"/>
      </rPr>
      <t>Student Services:</t>
    </r>
    <r>
      <rPr>
        <rFont val="Carlito"/>
        <color theme="1"/>
      </rPr>
      <t xml:space="preserve"> eventos culturales; BGU Community Forum semestral; programa de voluntariado.</t>
    </r>
  </si>
  <si>
    <t>E7. Apoyo económico y acceso</t>
  </si>
  <si>
    <t xml:space="preserve">E7-AE1
</t>
  </si>
  <si>
    <t>Difundir 
oportunidades de 
becas y ayuda 
financiera en 
comunidades locales 
e internacionales.</t>
  </si>
  <si>
    <r>
      <rPr>
        <rFont val="Carlito"/>
        <b/>
        <color theme="1"/>
      </rPr>
      <t xml:space="preserve">Admisiones/Marketing: </t>
    </r>
    <r>
      <rPr>
        <rFont val="Carlito"/>
        <color theme="1"/>
      </rPr>
      <t xml:space="preserve">micrositio actualizado; campañas dirigidas a comunidades objetivo; promoción mediante redes y embajadores.
</t>
    </r>
    <r>
      <rPr>
        <rFont val="Carlito"/>
        <b/>
        <color theme="1"/>
      </rPr>
      <t>Student Services:</t>
    </r>
    <r>
      <rPr>
        <rFont val="Carlito"/>
        <color theme="1"/>
      </rPr>
      <t xml:space="preserve"> orientación personalizada; talleres de postulación; centro virtual de apoyo financiero.</t>
    </r>
  </si>
  <si>
    <t xml:space="preserve">E7-K1
</t>
  </si>
  <si>
    <t>Fondos de scholarships y
subsidios</t>
  </si>
  <si>
    <t>Finance / aid</t>
  </si>
  <si>
    <t xml:space="preserve">E7-AE2
</t>
  </si>
  <si>
    <t>Establecer un fondo 
de becas por mérito 
con apoyo de 
instituciones 
financieras y 
donantes.</t>
  </si>
  <si>
    <r>
      <rPr>
        <rFont val="Carlito"/>
        <b/>
        <color theme="1"/>
      </rPr>
      <t>Administración y Finanzas:</t>
    </r>
    <r>
      <rPr>
        <rFont val="Carlito"/>
        <color theme="1"/>
      </rPr>
      <t xml:space="preserve"> fondo dedicado; acuerdos con bancos y fundaciones; reportes anuales de transparencia.
</t>
    </r>
    <r>
      <rPr>
        <rFont val="Carlito"/>
        <b/>
        <color theme="1"/>
      </rPr>
      <t xml:space="preserve">Asuntos Académicos: </t>
    </r>
    <r>
      <rPr>
        <rFont val="Carlito"/>
        <color theme="1"/>
      </rPr>
      <t>criterios académicos de elegibilidad; evaluación de desempeño; vinculación con proyectos académicos.</t>
    </r>
  </si>
  <si>
    <t xml:space="preserve">E7-K2
</t>
  </si>
  <si>
    <t xml:space="preserve">E7-K4
</t>
  </si>
  <si>
    <t>Fondos recibidos de
donantes</t>
  </si>
  <si>
    <t xml:space="preserve">E7-AE3
</t>
  </si>
  <si>
    <t>Implementar un 
sistema de 
seguimiento para 
evaluar el impacto 
académico y cultural 
de los beneficiarios.</t>
  </si>
  <si>
    <r>
      <rPr>
        <rFont val="Carlito"/>
        <b/>
        <color theme="1"/>
      </rPr>
      <t xml:space="preserve">Administración y Finanzas: </t>
    </r>
    <r>
      <rPr>
        <rFont val="Carlito"/>
        <color theme="1"/>
      </rPr>
      <t xml:space="preserve">monitorear uso de fondos; auditar adjudicación; preparar reportes de sostenibilidad.
</t>
    </r>
    <r>
      <rPr>
        <rFont val="Carlito"/>
        <b/>
        <color theme="1"/>
      </rPr>
      <t xml:space="preserve">Student Services: </t>
    </r>
    <r>
      <rPr>
        <rFont val="Carlito"/>
        <color theme="1"/>
      </rPr>
      <t>encuestas semestrales; indicadores de impacto social y cultural; dashboard de seguimiento.</t>
    </r>
  </si>
  <si>
    <t xml:space="preserve">E7-K2
</t>
  </si>
  <si>
    <t xml:space="preserve">E7-K3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</si>
</sst>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1">
    <font>
      <sz val="11.0"/>
      <color rgb="FF000000"/>
      <name val="Carlito"/>
      <scheme val="minor"/>
    </font>
    <font>
      <b/>
      <color rgb="FFFFFFFF"/>
      <name val="Arial"/>
    </font>
    <font>
      <color theme="1"/>
      <name val="Carlito"/>
      <scheme val="minor"/>
    </font>
    <font>
      <sz val="10.0"/>
      <color theme="1"/>
      <name val="Carlito"/>
      <scheme val="minor"/>
    </font>
    <font>
      <sz val="11.0"/>
      <color theme="1"/>
      <name val="Calibri"/>
    </font>
    <font>
      <sz val="10.0"/>
      <color theme="1"/>
      <name val="Calibri"/>
    </font>
    <font>
      <b/>
      <sz val="10.0"/>
      <color rgb="FFFFFFFF"/>
      <name val="Arial"/>
    </font>
    <font>
      <b/>
      <sz val="12.0"/>
      <color rgb="FFFFFFFF"/>
      <name val="Calibri"/>
    </font>
    <font>
      <color theme="1"/>
      <name val="Calibri"/>
    </font>
    <font>
      <color rgb="FF000000"/>
      <name val="Calibri"/>
    </font>
    <font>
      <b/>
      <color rgb="FFFFFFFF"/>
      <name val="Carlito"/>
      <scheme val="minor"/>
    </font>
    <font>
      <b/>
      <sz val="13.0"/>
      <color rgb="FFFFFFFF"/>
      <name val="Carlito"/>
      <scheme val="minor"/>
    </font>
    <font>
      <b/>
      <sz val="9.0"/>
      <color rgb="FF1F4E78"/>
      <name val="Arial"/>
    </font>
    <font>
      <sz val="9.0"/>
      <color rgb="FF111111"/>
      <name val="Arial"/>
    </font>
    <font>
      <b/>
      <sz val="9.0"/>
      <color rgb="FF375623"/>
      <name val="Arial"/>
    </font>
    <font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1.0"/>
      <color theme="1"/>
      <name val="Carlito"/>
    </font>
    <font>
      <sz val="10.0"/>
      <color theme="1"/>
      <name val="Carlito"/>
    </font>
    <font/>
    <font>
      <u/>
      <sz val="10.0"/>
      <color theme="1"/>
      <name val="Arial"/>
    </font>
    <font>
      <b/>
      <sz val="11.0"/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sz val="8.0"/>
      <color theme="1"/>
      <name val="Arial"/>
    </font>
    <font>
      <b/>
      <sz val="8.0"/>
      <color theme="1"/>
      <name val="Arial"/>
    </font>
    <font>
      <u/>
      <sz val="10.0"/>
      <color theme="1"/>
      <name val="Arial"/>
    </font>
    <font>
      <sz val="11.0"/>
      <color theme="1"/>
      <name val="Arial Narrow"/>
    </font>
    <font>
      <sz val="11.0"/>
      <color theme="1"/>
      <name val="Arial"/>
    </font>
    <font>
      <u/>
      <sz val="10.0"/>
      <color rgb="FF0000FF"/>
      <name val="Arial"/>
    </font>
    <font>
      <sz val="9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i/>
      <sz val="10.0"/>
      <color theme="1"/>
      <name val="Arial"/>
    </font>
    <font>
      <u/>
      <sz val="10.0"/>
      <color theme="1"/>
      <name val="Arial"/>
    </font>
    <font>
      <b/>
      <sz val="16.0"/>
      <color rgb="FF000000"/>
      <name val="Carlito"/>
      <scheme val="minor"/>
    </font>
    <font>
      <b/>
      <u/>
      <sz val="16.0"/>
      <color rgb="FF000000"/>
      <name val="Carlito"/>
      <scheme val="minor"/>
    </font>
    <font>
      <b/>
      <sz val="16.0"/>
      <color rgb="FFFFFFFF"/>
      <name val="Carlito"/>
      <scheme val="minor"/>
    </font>
    <font>
      <b/>
      <sz val="11.0"/>
      <color rgb="FFFFFFFF"/>
      <name val="Carlito"/>
    </font>
    <font>
      <sz val="11.0"/>
      <color rgb="FF000000"/>
      <name val="Arial"/>
    </font>
    <font>
      <sz val="13.0"/>
      <color theme="1"/>
      <name val="Carlito"/>
    </font>
    <font>
      <b/>
      <sz val="11.0"/>
      <color theme="1"/>
      <name val="Carlito"/>
    </font>
    <font>
      <b/>
      <color theme="1"/>
      <name val="Carlito"/>
      <scheme val="minor"/>
    </font>
    <font>
      <u/>
      <color rgb="FF0000FF"/>
    </font>
    <font>
      <sz val="12.0"/>
      <color rgb="FF000000"/>
      <name val="Arial Narrow"/>
    </font>
    <font>
      <u/>
      <color theme="1"/>
      <name val="Carlito"/>
      <scheme val="minor"/>
    </font>
    <font>
      <u/>
      <color theme="1"/>
      <name val="Carlito"/>
      <scheme val="minor"/>
    </font>
    <font>
      <u/>
      <color rgb="FF0000FF"/>
    </font>
    <font>
      <u/>
      <sz val="11.0"/>
      <color rgb="FF0000FF"/>
      <name val="Carlito"/>
    </font>
    <font>
      <u/>
      <color theme="1"/>
      <name val="Carlito"/>
      <scheme val="minor"/>
    </font>
    <font>
      <u/>
      <sz val="11.0"/>
      <color rgb="FF0000FF"/>
      <name val="Carlito"/>
    </font>
    <font>
      <u/>
      <color rgb="FF0000FF"/>
    </font>
    <font>
      <color rgb="FF000000"/>
      <name val="Carlito"/>
      <scheme val="minor"/>
    </font>
    <font>
      <color rgb="FFFF0000"/>
      <name val="Carlito"/>
      <scheme val="minor"/>
    </font>
    <font>
      <u/>
      <sz val="11.0"/>
      <color rgb="FF467886"/>
      <name val="Carlito"/>
    </font>
    <font>
      <u/>
      <sz val="11.0"/>
      <color theme="1"/>
      <name val="Carlito"/>
    </font>
    <font>
      <u/>
      <sz val="11.0"/>
      <color theme="1"/>
      <name val="Carlito"/>
    </font>
    <font>
      <u/>
      <color rgb="FF3C78D8"/>
    </font>
    <font>
      <u/>
      <sz val="11.0"/>
      <color theme="1"/>
      <name val="Carlito"/>
    </font>
    <font>
      <color rgb="FF000000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F3A5F"/>
        <bgColor rgb="FF1F3A5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C5FFD0"/>
        <bgColor rgb="FFC5FFD0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274E13"/>
        <bgColor rgb="FF274E13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000000"/>
        <bgColor rgb="FF000000"/>
      </patternFill>
    </fill>
    <fill>
      <patternFill patternType="solid">
        <fgColor rgb="FF0B1F33"/>
        <bgColor rgb="FF0B1F3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dotted">
        <color rgb="FF000000"/>
      </left>
      <right style="dotted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1" fillId="0" fontId="4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2" numFmtId="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2" fontId="6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  <xf borderId="2" fillId="4" fontId="9" numFmtId="0" xfId="0" applyAlignment="1" applyBorder="1" applyFont="1">
      <alignment horizontal="left" readingOrder="0" shrinkToFit="0" vertical="center" wrapText="1"/>
    </xf>
    <xf borderId="0" fillId="6" fontId="10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0" fillId="6" fontId="11" numFmtId="0" xfId="0" applyAlignment="1" applyFont="1">
      <alignment horizontal="center" readingOrder="0" vertical="center"/>
    </xf>
    <xf borderId="1" fillId="7" fontId="4" numFmtId="0" xfId="0" applyAlignment="1" applyBorder="1" applyFont="1">
      <alignment shrinkToFit="0" vertical="center" wrapText="1"/>
    </xf>
    <xf borderId="1" fillId="7" fontId="4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7" fontId="9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7" fontId="9" numFmtId="9" xfId="0" applyAlignment="1" applyBorder="1" applyFont="1" applyNumberForma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ont="1">
      <alignment shrinkToFit="0" vertical="center" wrapText="1"/>
    </xf>
    <xf borderId="0" fillId="2" fontId="10" numFmtId="0" xfId="0" applyAlignment="1" applyFont="1">
      <alignment horizontal="center" readingOrder="0" vertical="center"/>
    </xf>
    <xf borderId="1" fillId="9" fontId="4" numFmtId="0" xfId="0" applyAlignment="1" applyBorder="1" applyFont="1">
      <alignment horizontal="center" shrinkToFit="0" wrapText="1"/>
    </xf>
    <xf borderId="1" fillId="10" fontId="9" numFmtId="0" xfId="0" applyAlignment="1" applyBorder="1" applyFill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ont="1">
      <alignment shrinkToFit="0" vertical="center" wrapText="1"/>
    </xf>
    <xf borderId="1" fillId="11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12" fontId="9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12" fontId="4" numFmtId="0" xfId="0" applyAlignment="1" applyBorder="1" applyFont="1">
      <alignment horizontal="center" shrinkToFit="0" vertical="center" wrapText="1"/>
    </xf>
    <xf borderId="1" fillId="12" fontId="4" numFmtId="0" xfId="0" applyAlignment="1" applyBorder="1" applyFont="1">
      <alignment shrinkToFit="0" vertical="center" wrapText="1"/>
    </xf>
    <xf borderId="1" fillId="12" fontId="4" numFmtId="0" xfId="0" applyAlignment="1" applyBorder="1" applyFont="1">
      <alignment horizontal="center" shrinkToFit="0" wrapText="1"/>
    </xf>
    <xf borderId="1" fillId="13" fontId="4" numFmtId="0" xfId="0" applyAlignment="1" applyBorder="1" applyFont="1">
      <alignment horizontal="center" shrinkToFit="0" vertical="center" wrapText="1"/>
    </xf>
    <xf borderId="3" fillId="0" fontId="20" numFmtId="0" xfId="0" applyBorder="1" applyFont="1"/>
    <xf borderId="1" fillId="14" fontId="9" numFmtId="0" xfId="0" applyAlignment="1" applyBorder="1" applyFill="1" applyFont="1">
      <alignment horizontal="center" readingOrder="0" shrinkToFit="0" vertical="center" wrapText="1"/>
    </xf>
    <xf borderId="1" fillId="15" fontId="9" numFmtId="164" xfId="0" applyAlignment="1" applyBorder="1" applyFill="1" applyFont="1" applyNumberFormat="1">
      <alignment horizontal="center" readingOrder="0" shrinkToFit="0" vertical="center" wrapText="1"/>
    </xf>
    <xf borderId="1" fillId="10" fontId="4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shrinkToFit="0" vertical="center" wrapText="1"/>
    </xf>
    <xf borderId="1" fillId="0" fontId="9" numFmtId="9" xfId="0" applyAlignment="1" applyBorder="1" applyFont="1" applyNumberFormat="1">
      <alignment horizontal="center" readingOrder="0" shrinkToFit="0" vertical="center" wrapText="1"/>
    </xf>
    <xf borderId="1" fillId="8" fontId="9" numFmtId="9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1" fillId="16" fontId="16" numFmtId="10" xfId="0" applyAlignment="1" applyBorder="1" applyFill="1" applyFont="1" applyNumberFormat="1">
      <alignment horizontal="center" shrinkToFit="0" vertical="center" wrapText="1"/>
    </xf>
    <xf borderId="1" fillId="16" fontId="21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5" fontId="4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17" fontId="9" numFmtId="0" xfId="0" applyAlignment="1" applyBorder="1" applyFill="1" applyFont="1">
      <alignment horizontal="center" readingOrder="0" shrinkToFit="0" vertical="center" wrapText="1"/>
    </xf>
    <xf borderId="1" fillId="0" fontId="5" numFmtId="9" xfId="0" applyAlignment="1" applyBorder="1" applyFont="1" applyNumberFormat="1">
      <alignment horizontal="center" shrinkToFit="0" vertical="center" wrapText="1"/>
    </xf>
    <xf borderId="1" fillId="0" fontId="5" numFmtId="9" xfId="0" applyAlignment="1" applyBorder="1" applyFont="1" applyNumberFormat="1">
      <alignment horizontal="center" readingOrder="0" shrinkToFit="0" vertical="center" wrapText="1"/>
    </xf>
    <xf borderId="1" fillId="18" fontId="9" numFmtId="9" xfId="0" applyAlignment="1" applyBorder="1" applyFill="1" applyFont="1" applyNumberFormat="1">
      <alignment horizontal="center" readingOrder="0" shrinkToFit="0" vertical="center" wrapText="1"/>
    </xf>
    <xf borderId="1" fillId="14" fontId="4" numFmtId="0" xfId="0" applyAlignment="1" applyBorder="1" applyFont="1">
      <alignment horizontal="center" shrinkToFit="0" vertical="center" wrapText="1"/>
    </xf>
    <xf borderId="1" fillId="14" fontId="4" numFmtId="0" xfId="0" applyAlignment="1" applyBorder="1" applyFont="1">
      <alignment shrinkToFit="0" vertical="center" wrapText="1"/>
    </xf>
    <xf borderId="1" fillId="14" fontId="4" numFmtId="0" xfId="0" applyAlignment="1" applyBorder="1" applyFont="1">
      <alignment horizontal="center" shrinkToFit="0" wrapText="1"/>
    </xf>
    <xf borderId="1" fillId="3" fontId="23" numFmtId="0" xfId="0" applyAlignment="1" applyBorder="1" applyFont="1">
      <alignment horizontal="center" shrinkToFit="0" vertical="center" wrapText="1"/>
    </xf>
    <xf borderId="1" fillId="15" fontId="4" numFmtId="0" xfId="0" applyAlignment="1" applyBorder="1" applyFont="1">
      <alignment horizontal="center" shrinkToFit="0" vertical="center" wrapText="1"/>
    </xf>
    <xf borderId="0" fillId="3" fontId="23" numFmtId="0" xfId="0" applyAlignment="1" applyFont="1">
      <alignment horizontal="center" readingOrder="0" shrinkToFit="0" vertical="center" wrapText="1"/>
    </xf>
    <xf borderId="4" fillId="0" fontId="20" numFmtId="0" xfId="0" applyBorder="1" applyFont="1"/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1" fillId="19" fontId="2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18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18" fontId="4" numFmtId="0" xfId="0" applyAlignment="1" applyBorder="1" applyFont="1">
      <alignment shrinkToFit="0" vertical="center" wrapText="1"/>
    </xf>
    <xf borderId="1" fillId="18" fontId="4" numFmtId="0" xfId="0" applyAlignment="1" applyBorder="1" applyFont="1">
      <alignment horizontal="center" shrinkToFit="0" wrapText="1"/>
    </xf>
    <xf borderId="2" fillId="4" fontId="9" numFmtId="0" xfId="0" applyAlignment="1" applyBorder="1" applyFont="1">
      <alignment horizontal="center" readingOrder="0" shrinkToFit="0" vertical="center" wrapText="1"/>
    </xf>
    <xf borderId="1" fillId="16" fontId="5" numFmtId="9" xfId="0" applyAlignment="1" applyBorder="1" applyFont="1" applyNumberFormat="1">
      <alignment horizontal="center" readingOrder="0" shrinkToFit="0" vertical="center" wrapText="1"/>
    </xf>
    <xf borderId="1" fillId="16" fontId="9" numFmtId="9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16" fontId="2" numFmtId="0" xfId="0" applyAlignment="1" applyFont="1">
      <alignment horizontal="center" vertical="center"/>
    </xf>
    <xf borderId="1" fillId="8" fontId="9" numFmtId="164" xfId="0" applyAlignment="1" applyBorder="1" applyFont="1" applyNumberFormat="1">
      <alignment horizontal="center" readingOrder="0" shrinkToFit="0" vertical="center" wrapText="1"/>
    </xf>
    <xf borderId="1" fillId="20" fontId="9" numFmtId="0" xfId="0" applyAlignment="1" applyBorder="1" applyFill="1" applyFont="1">
      <alignment horizontal="center" readingOrder="0" shrinkToFit="0" vertical="center" wrapText="1"/>
    </xf>
    <xf borderId="1" fillId="16" fontId="5" numFmtId="9" xfId="0" applyAlignment="1" applyBorder="1" applyFont="1" applyNumberFormat="1">
      <alignment horizontal="center" shrinkToFit="0" vertical="center" wrapText="1"/>
    </xf>
    <xf borderId="0" fillId="0" fontId="9" numFmtId="9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1" fillId="20" fontId="9" numFmtId="9" xfId="0" applyAlignment="1" applyBorder="1" applyFont="1" applyNumberFormat="1">
      <alignment horizontal="center" readingOrder="0" shrinkToFit="0" vertical="center" wrapText="1"/>
    </xf>
    <xf borderId="0" fillId="16" fontId="19" numFmtId="0" xfId="0" applyAlignment="1" applyFont="1">
      <alignment horizontal="center" vertical="center"/>
    </xf>
    <xf borderId="1" fillId="21" fontId="26" numFmtId="0" xfId="0" applyAlignment="1" applyBorder="1" applyFill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22" fontId="9" numFmtId="0" xfId="0" applyAlignment="1" applyBorder="1" applyFill="1" applyFont="1">
      <alignment horizontal="center" readingOrder="0" shrinkToFit="0" vertical="center" wrapText="1"/>
    </xf>
    <xf borderId="1" fillId="0" fontId="16" numFmtId="9" xfId="0" applyAlignment="1" applyBorder="1" applyFont="1" applyNumberFormat="1">
      <alignment horizontal="center" readingOrder="0" vertical="center"/>
    </xf>
    <xf borderId="1" fillId="22" fontId="9" numFmtId="9" xfId="0" applyAlignment="1" applyBorder="1" applyFont="1" applyNumberFormat="1">
      <alignment horizontal="center" readingOrder="0" shrinkToFit="0" vertical="center" wrapText="1"/>
    </xf>
    <xf borderId="1" fillId="0" fontId="27" numFmtId="0" xfId="0" applyAlignment="1" applyBorder="1" applyFont="1">
      <alignment horizontal="left" readingOrder="0" vertical="center"/>
    </xf>
    <xf borderId="1" fillId="0" fontId="22" numFmtId="0" xfId="0" applyAlignment="1" applyBorder="1" applyFont="1">
      <alignment horizontal="left" readingOrder="0" shrinkToFit="0" vertical="center" wrapText="1"/>
    </xf>
    <xf borderId="1" fillId="23" fontId="26" numFmtId="0" xfId="0" applyAlignment="1" applyBorder="1" applyFill="1" applyFont="1">
      <alignment horizontal="center" shrinkToFit="0" vertical="center" wrapText="1"/>
    </xf>
    <xf borderId="1" fillId="0" fontId="5" numFmtId="9" xfId="0" applyAlignment="1" applyBorder="1" applyFont="1" applyNumberFormat="1">
      <alignment horizontal="center" shrinkToFit="0" vertical="center" wrapText="1"/>
    </xf>
    <xf borderId="1" fillId="24" fontId="4" numFmtId="0" xfId="0" applyAlignment="1" applyBorder="1" applyFill="1" applyFont="1">
      <alignment horizontal="center" shrinkToFit="0" vertical="center" wrapText="1"/>
    </xf>
    <xf borderId="1" fillId="24" fontId="4" numFmtId="9" xfId="0" applyAlignment="1" applyBorder="1" applyFont="1" applyNumberFormat="1">
      <alignment horizontal="center" shrinkToFit="0" vertical="center" wrapText="1"/>
    </xf>
    <xf borderId="1" fillId="25" fontId="9" numFmtId="0" xfId="0" applyAlignment="1" applyBorder="1" applyFill="1" applyFont="1">
      <alignment horizontal="center" readingOrder="0" shrinkToFit="0" vertical="center" wrapText="1"/>
    </xf>
    <xf borderId="1" fillId="24" fontId="4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center" vertical="center"/>
    </xf>
    <xf borderId="1" fillId="0" fontId="28" numFmtId="9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shrinkToFit="0" vertical="center" wrapText="1"/>
    </xf>
    <xf borderId="1" fillId="26" fontId="25" numFmtId="0" xfId="0" applyAlignment="1" applyBorder="1" applyFill="1" applyFont="1">
      <alignment horizontal="center" shrinkToFit="0" vertical="center" wrapText="1"/>
    </xf>
    <xf borderId="1" fillId="27" fontId="9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left" readingOrder="0" shrinkToFit="0" vertical="center" wrapText="1"/>
    </xf>
    <xf borderId="1" fillId="16" fontId="4" numFmtId="9" xfId="0" applyAlignment="1" applyBorder="1" applyFont="1" applyNumberFormat="1">
      <alignment horizontal="center" shrinkToFit="0" vertical="center" wrapText="1"/>
    </xf>
    <xf borderId="1" fillId="28" fontId="2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16" numFmtId="9" xfId="0" applyAlignment="1" applyBorder="1" applyFont="1" applyNumberFormat="1">
      <alignment horizontal="center" readingOrder="0" shrinkToFit="0" vertical="center" wrapText="1"/>
    </xf>
    <xf borderId="1" fillId="20" fontId="4" numFmtId="0" xfId="0" applyAlignment="1" applyBorder="1" applyFont="1">
      <alignment horizontal="center" shrinkToFit="0" vertical="center" wrapText="1"/>
    </xf>
    <xf borderId="1" fillId="20" fontId="4" numFmtId="0" xfId="0" applyAlignment="1" applyBorder="1" applyFont="1">
      <alignment shrinkToFit="0" vertical="center" wrapText="1"/>
    </xf>
    <xf borderId="1" fillId="20" fontId="4" numFmtId="0" xfId="0" applyAlignment="1" applyBorder="1" applyFont="1">
      <alignment horizontal="center" shrinkToFit="0" wrapText="1"/>
    </xf>
    <xf borderId="1" fillId="0" fontId="31" numFmtId="0" xfId="0" applyAlignment="1" applyBorder="1" applyFont="1">
      <alignment horizontal="center" shrinkToFit="0" vertical="center" wrapText="1"/>
    </xf>
    <xf borderId="1" fillId="12" fontId="4" numFmtId="0" xfId="0" applyAlignment="1" applyBorder="1" applyFont="1">
      <alignment horizontal="left" shrinkToFit="0" vertical="center" wrapText="1"/>
    </xf>
    <xf borderId="1" fillId="29" fontId="32" numFmtId="0" xfId="0" applyAlignment="1" applyBorder="1" applyFill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22" fontId="2" numFmtId="0" xfId="0" applyAlignment="1" applyBorder="1" applyFont="1">
      <alignment horizontal="left" readingOrder="0" shrinkToFit="0" vertical="center" wrapText="1"/>
    </xf>
    <xf borderId="1" fillId="22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2" fontId="4" numFmtId="0" xfId="0" applyAlignment="1" applyBorder="1" applyFont="1">
      <alignment shrinkToFit="0" vertical="center" wrapText="1"/>
    </xf>
    <xf borderId="1" fillId="22" fontId="4" numFmtId="0" xfId="0" applyAlignment="1" applyBorder="1" applyFont="1">
      <alignment horizontal="center" shrinkToFit="0" wrapText="1"/>
    </xf>
    <xf borderId="1" fillId="16" fontId="9" numFmtId="0" xfId="0" applyAlignment="1" applyBorder="1" applyFont="1">
      <alignment horizontal="center" readingOrder="0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14" fontId="4" numFmtId="0" xfId="0" applyAlignment="1" applyBorder="1" applyFont="1">
      <alignment horizontal="center" shrinkToFit="0" vertical="center" wrapText="1"/>
    </xf>
    <xf borderId="1" fillId="25" fontId="4" numFmtId="0" xfId="0" applyAlignment="1" applyBorder="1" applyFont="1">
      <alignment horizontal="center" shrinkToFit="0" vertical="center" wrapText="1"/>
    </xf>
    <xf borderId="1" fillId="15" fontId="4" numFmtId="164" xfId="0" applyAlignment="1" applyBorder="1" applyFont="1" applyNumberFormat="1">
      <alignment horizontal="center" shrinkToFit="0" vertical="center" wrapText="1"/>
    </xf>
    <xf borderId="1" fillId="25" fontId="4" numFmtId="0" xfId="0" applyAlignment="1" applyBorder="1" applyFont="1">
      <alignment shrinkToFit="0" vertical="center" wrapText="1"/>
    </xf>
    <xf borderId="1" fillId="25" fontId="4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left" shrinkToFit="0" vertical="center" wrapText="1"/>
    </xf>
    <xf borderId="1" fillId="30" fontId="12" numFmtId="0" xfId="0" applyAlignment="1" applyBorder="1" applyFill="1" applyFont="1">
      <alignment horizontal="center" shrinkToFit="0" vertical="center" wrapText="1"/>
    </xf>
    <xf borderId="1" fillId="30" fontId="31" numFmtId="0" xfId="0" applyAlignment="1" applyBorder="1" applyFont="1">
      <alignment horizontal="center" shrinkToFit="0" vertical="center" wrapText="1"/>
    </xf>
    <xf borderId="1" fillId="30" fontId="1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27" fontId="4" numFmtId="0" xfId="0" applyAlignment="1" applyBorder="1" applyFont="1">
      <alignment horizontal="center" shrinkToFit="0" vertical="center" wrapText="1"/>
    </xf>
    <xf borderId="1" fillId="27" fontId="4" numFmtId="0" xfId="0" applyAlignment="1" applyBorder="1" applyFont="1">
      <alignment shrinkToFit="0" vertical="center" wrapText="1"/>
    </xf>
    <xf borderId="1" fillId="27" fontId="4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left" readingOrder="0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0" fontId="31" numFmtId="0" xfId="0" applyAlignment="1" applyBorder="1" applyFont="1">
      <alignment shrinkToFit="0" vertical="center" wrapText="1"/>
    </xf>
    <xf borderId="1" fillId="10" fontId="4" numFmtId="0" xfId="0" applyAlignment="1" applyBorder="1" applyFont="1">
      <alignment horizontal="left" shrinkToFit="0" vertical="center" wrapText="1"/>
    </xf>
    <xf borderId="1" fillId="0" fontId="34" numFmtId="0" xfId="0" applyAlignment="1" applyBorder="1" applyFont="1">
      <alignment horizontal="left" readingOrder="0" shrinkToFit="0" vertical="center" wrapText="1"/>
    </xf>
    <xf borderId="1" fillId="18" fontId="4" numFmtId="0" xfId="0" applyAlignment="1" applyBorder="1" applyFont="1">
      <alignment horizontal="left" shrinkToFit="0" vertical="center" wrapText="1"/>
    </xf>
    <xf borderId="0" fillId="0" fontId="3" numFmtId="0" xfId="0" applyFont="1"/>
    <xf borderId="1" fillId="31" fontId="9" numFmtId="0" xfId="0" applyAlignment="1" applyBorder="1" applyFill="1" applyFont="1">
      <alignment horizontal="center" readingOrder="0" shrinkToFit="0" vertical="center" wrapText="1"/>
    </xf>
    <xf borderId="1" fillId="22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6" numFmtId="10" xfId="0" applyAlignment="1" applyBorder="1" applyFont="1" applyNumberFormat="1">
      <alignment horizontal="center" readingOrder="0" shrinkToFit="0" vertical="center" wrapText="1"/>
    </xf>
    <xf borderId="1" fillId="25" fontId="4" numFmtId="0" xfId="0" applyAlignment="1" applyBorder="1" applyFont="1">
      <alignment horizontal="left" shrinkToFit="0" vertical="center" wrapText="1"/>
    </xf>
    <xf borderId="1" fillId="0" fontId="16" numFmtId="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1" fillId="27" fontId="4" numFmtId="0" xfId="0" applyAlignment="1" applyBorder="1" applyFont="1">
      <alignment horizontal="left" shrinkToFit="0" vertical="center" wrapText="1"/>
    </xf>
    <xf borderId="1" fillId="31" fontId="4" numFmtId="0" xfId="0" applyAlignment="1" applyBorder="1" applyFont="1">
      <alignment horizontal="center" shrinkToFit="0" vertical="center" wrapText="1"/>
    </xf>
    <xf borderId="1" fillId="31" fontId="4" numFmtId="0" xfId="0" applyAlignment="1" applyBorder="1" applyFont="1">
      <alignment horizontal="left" shrinkToFit="0" vertical="center" wrapText="1"/>
    </xf>
    <xf borderId="1" fillId="31" fontId="4" numFmtId="0" xfId="0" applyAlignment="1" applyBorder="1" applyFont="1">
      <alignment shrinkToFit="0" vertical="center" wrapText="1"/>
    </xf>
    <xf borderId="1" fillId="31" fontId="4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left" readingOrder="0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shrinkToFit="0" vertical="center" wrapText="1"/>
    </xf>
    <xf borderId="1" fillId="8" fontId="4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1" fillId="32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32" fontId="4" numFmtId="0" xfId="0" applyAlignment="1" applyBorder="1" applyFont="1">
      <alignment horizontal="left" shrinkToFit="0" vertical="center" wrapText="1"/>
    </xf>
    <xf borderId="1" fillId="32" fontId="12" numFmtId="0" xfId="0" applyAlignment="1" applyBorder="1" applyFont="1">
      <alignment horizontal="center" shrinkToFit="0" vertical="center" wrapText="1"/>
    </xf>
    <xf borderId="1" fillId="32" fontId="13" numFmtId="0" xfId="0" applyAlignment="1" applyBorder="1" applyFont="1">
      <alignment horizontal="left" shrinkToFit="0" vertical="center" wrapText="1"/>
    </xf>
    <xf borderId="1" fillId="32" fontId="15" numFmtId="0" xfId="0" applyAlignment="1" applyBorder="1" applyFont="1">
      <alignment horizontal="center" shrinkToFit="0" vertical="center" wrapText="1"/>
    </xf>
    <xf borderId="1" fillId="33" fontId="4" numFmtId="0" xfId="0" applyAlignment="1" applyBorder="1" applyFill="1" applyFont="1">
      <alignment horizontal="center" shrinkToFit="0" vertical="center" wrapText="1"/>
    </xf>
    <xf borderId="1" fillId="33" fontId="4" numFmtId="0" xfId="0" applyAlignment="1" applyBorder="1" applyFont="1">
      <alignment horizontal="left" shrinkToFit="0" vertical="center" wrapText="1"/>
    </xf>
    <xf borderId="1" fillId="33" fontId="12" numFmtId="0" xfId="0" applyAlignment="1" applyBorder="1" applyFont="1">
      <alignment horizontal="center" shrinkToFit="0" vertical="center" wrapText="1"/>
    </xf>
    <xf borderId="1" fillId="33" fontId="31" numFmtId="0" xfId="0" applyAlignment="1" applyBorder="1" applyFont="1">
      <alignment horizontal="left" shrinkToFit="0" vertical="center" wrapText="1"/>
    </xf>
    <xf borderId="1" fillId="33" fontId="15" numFmtId="0" xfId="0" applyAlignment="1" applyBorder="1" applyFont="1">
      <alignment horizontal="center" shrinkToFit="0" vertical="center" wrapText="1"/>
    </xf>
    <xf borderId="1" fillId="0" fontId="3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4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1" fillId="24" fontId="4" numFmtId="0" xfId="0" applyAlignment="1" applyBorder="1" applyFont="1">
      <alignment shrinkToFit="0" vertical="center" wrapText="1"/>
    </xf>
    <xf borderId="0" fillId="0" fontId="18" numFmtId="0" xfId="0" applyAlignment="1" applyFont="1">
      <alignment vertical="bottom"/>
    </xf>
    <xf borderId="1" fillId="6" fontId="1" numFmtId="0" xfId="0" applyAlignment="1" applyBorder="1" applyFont="1">
      <alignment horizontal="center" readingOrder="0" shrinkToFit="0" vertical="center" wrapText="1"/>
    </xf>
    <xf borderId="1" fillId="34" fontId="1" numFmtId="0" xfId="0" applyAlignment="1" applyBorder="1" applyFill="1" applyFont="1">
      <alignment horizontal="center" readingOrder="0" shrinkToFit="0" vertical="center" wrapText="1"/>
    </xf>
    <xf borderId="1" fillId="22" fontId="9" numFmtId="164" xfId="0" applyAlignment="1" applyBorder="1" applyFont="1" applyNumberFormat="1">
      <alignment horizontal="center" readingOrder="0" shrinkToFit="0" vertical="center" wrapText="1"/>
    </xf>
    <xf borderId="1" fillId="32" fontId="4" numFmtId="0" xfId="0" applyAlignment="1" applyBorder="1" applyFont="1">
      <alignment shrinkToFit="0" vertical="center" wrapText="1"/>
    </xf>
    <xf borderId="1" fillId="32" fontId="13" numFmtId="0" xfId="0" applyAlignment="1" applyBorder="1" applyFont="1">
      <alignment horizontal="center" shrinkToFit="0" vertical="center" wrapText="1"/>
    </xf>
    <xf borderId="1" fillId="29" fontId="9" numFmtId="9" xfId="0" applyAlignment="1" applyBorder="1" applyFont="1" applyNumberFormat="1">
      <alignment horizontal="center" readingOrder="0" shrinkToFit="0" vertical="center" wrapText="1"/>
    </xf>
    <xf borderId="1" fillId="33" fontId="4" numFmtId="0" xfId="0" applyAlignment="1" applyBorder="1" applyFont="1">
      <alignment shrinkToFit="0" vertical="center" wrapText="1"/>
    </xf>
    <xf borderId="1" fillId="33" fontId="31" numFmtId="0" xfId="0" applyAlignment="1" applyBorder="1" applyFont="1">
      <alignment horizontal="center" shrinkToFit="0" vertical="center" wrapText="1"/>
    </xf>
    <xf borderId="1" fillId="0" fontId="4" numFmtId="9" xfId="0" applyAlignment="1" applyBorder="1" applyFont="1" applyNumberFormat="1">
      <alignment horizontal="center" shrinkToFit="0" vertical="center" wrapText="1"/>
    </xf>
    <xf borderId="1" fillId="0" fontId="4" numFmtId="9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shrinkToFit="0" wrapText="1"/>
    </xf>
    <xf borderId="1" fillId="0" fontId="18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 shrinkToFit="0" wrapText="1"/>
    </xf>
    <xf borderId="0" fillId="4" fontId="36" numFmtId="0" xfId="0" applyAlignment="1" applyFont="1">
      <alignment horizontal="center" readingOrder="0" vertical="center"/>
    </xf>
    <xf borderId="0" fillId="4" fontId="37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5" fillId="35" fontId="38" numFmtId="0" xfId="0" applyAlignment="1" applyBorder="1" applyFill="1" applyFont="1">
      <alignment horizontal="center" readingOrder="0" vertical="center"/>
    </xf>
    <xf borderId="5" fillId="35" fontId="38" numFmtId="0" xfId="0" applyAlignment="1" applyBorder="1" applyFont="1">
      <alignment horizontal="center" readingOrder="0" shrinkToFit="0" vertical="center" wrapText="1"/>
    </xf>
    <xf borderId="6" fillId="35" fontId="38" numFmtId="0" xfId="0" applyAlignment="1" applyBorder="1" applyFont="1">
      <alignment horizontal="center" readingOrder="0" shrinkToFit="0" vertical="center" wrapText="1"/>
    </xf>
    <xf borderId="6" fillId="35" fontId="38" numFmtId="0" xfId="0" applyAlignment="1" applyBorder="1" applyFont="1">
      <alignment horizontal="center" readingOrder="0" vertical="center"/>
    </xf>
    <xf borderId="0" fillId="36" fontId="39" numFmtId="0" xfId="0" applyAlignment="1" applyFill="1" applyFont="1">
      <alignment horizontal="center" shrinkToFit="0" vertical="center" wrapText="1"/>
    </xf>
    <xf borderId="7" fillId="22" fontId="40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left" shrinkToFit="0" vertical="center" wrapText="1"/>
    </xf>
    <xf borderId="7" fillId="22" fontId="2" numFmtId="0" xfId="0" applyAlignment="1" applyBorder="1" applyFont="1">
      <alignment horizontal="center" readingOrder="0" shrinkToFit="0" vertical="center" wrapText="1"/>
    </xf>
    <xf borderId="0" fillId="36" fontId="39" numFmtId="0" xfId="0" applyAlignment="1" applyFont="1">
      <alignment horizontal="center" readingOrder="0" shrinkToFit="0" vertical="center" wrapText="1"/>
    </xf>
    <xf borderId="7" fillId="22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8" fillId="22" fontId="18" numFmtId="0" xfId="0" applyAlignment="1" applyBorder="1" applyFont="1">
      <alignment shrinkToFit="0" vertical="center" wrapText="1"/>
    </xf>
    <xf borderId="9" fillId="22" fontId="4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vertical="center"/>
    </xf>
    <xf borderId="9" fillId="26" fontId="42" numFmtId="0" xfId="0" applyAlignment="1" applyBorder="1" applyFont="1">
      <alignment horizontal="center" readingOrder="0" shrinkToFit="0" vertical="center" wrapText="1"/>
    </xf>
    <xf borderId="10" fillId="0" fontId="20" numFmtId="0" xfId="0" applyBorder="1" applyFont="1"/>
    <xf borderId="9" fillId="0" fontId="20" numFmtId="0" xfId="0" applyBorder="1" applyFont="1"/>
    <xf borderId="9" fillId="26" fontId="42" numFmtId="0" xfId="0" applyAlignment="1" applyBorder="1" applyFont="1">
      <alignment readingOrder="0" shrinkToFit="0" vertical="center" wrapText="1"/>
    </xf>
    <xf borderId="9" fillId="26" fontId="18" numFmtId="0" xfId="0" applyAlignment="1" applyBorder="1" applyFont="1">
      <alignment shrinkToFit="0" vertical="center" wrapText="1"/>
    </xf>
    <xf borderId="9" fillId="26" fontId="43" numFmtId="0" xfId="0" applyAlignment="1" applyBorder="1" applyFont="1">
      <alignment readingOrder="0" vertical="center"/>
    </xf>
    <xf borderId="11" fillId="26" fontId="2" numFmtId="0" xfId="0" applyBorder="1" applyFont="1"/>
    <xf borderId="12" fillId="22" fontId="18" numFmtId="0" xfId="0" applyAlignment="1" applyBorder="1" applyFont="1">
      <alignment readingOrder="0" shrinkToFit="0" vertical="center" wrapText="1"/>
    </xf>
    <xf borderId="5" fillId="0" fontId="44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13" fillId="0" fontId="20" numFmtId="0" xfId="0" applyBorder="1" applyFont="1"/>
    <xf borderId="0" fillId="37" fontId="18" numFmtId="0" xfId="0" applyAlignment="1" applyFill="1" applyFont="1">
      <alignment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18" numFmtId="9" xfId="0" applyAlignment="1" applyFont="1" applyNumberFormat="1">
      <alignment shrinkToFit="0" vertical="center" wrapText="1"/>
    </xf>
    <xf borderId="5" fillId="0" fontId="45" numFmtId="0" xfId="0" applyAlignment="1" applyBorder="1" applyFont="1">
      <alignment horizontal="left" readingOrder="0" shrinkToFit="0" vertical="center" wrapText="1"/>
    </xf>
    <xf borderId="0" fillId="0" fontId="46" numFmtId="0" xfId="0" applyAlignment="1" applyFont="1">
      <alignment readingOrder="0" vertical="center"/>
    </xf>
    <xf borderId="14" fillId="0" fontId="2" numFmtId="0" xfId="0" applyBorder="1" applyFont="1"/>
    <xf borderId="0" fillId="0" fontId="18" numFmtId="0" xfId="0" applyAlignment="1" applyFont="1">
      <alignment readingOrder="0" shrinkToFit="0" vertical="center" wrapText="1"/>
    </xf>
    <xf borderId="0" fillId="26" fontId="42" numFmtId="0" xfId="0" applyAlignment="1" applyFont="1">
      <alignment horizontal="center" readingOrder="0" shrinkToFit="0" vertical="center" wrapText="1"/>
    </xf>
    <xf borderId="0" fillId="26" fontId="42" numFmtId="0" xfId="0" applyAlignment="1" applyFont="1">
      <alignment readingOrder="0" shrinkToFit="0" vertical="center" wrapText="1"/>
    </xf>
    <xf borderId="0" fillId="26" fontId="18" numFmtId="0" xfId="0" applyAlignment="1" applyFont="1">
      <alignment shrinkToFit="0" vertical="center" wrapText="1"/>
    </xf>
    <xf borderId="0" fillId="26" fontId="43" numFmtId="0" xfId="0" applyAlignment="1" applyFont="1">
      <alignment readingOrder="0" vertical="center"/>
    </xf>
    <xf borderId="14" fillId="26" fontId="2" numFmtId="0" xfId="0" applyBorder="1" applyFont="1"/>
    <xf borderId="5" fillId="0" fontId="47" numFmtId="0" xfId="0" applyAlignment="1" applyBorder="1" applyFont="1">
      <alignment readingOrder="0" vertical="center"/>
    </xf>
    <xf borderId="0" fillId="33" fontId="18" numFmtId="0" xfId="0" applyAlignment="1" applyFont="1">
      <alignment shrinkToFit="0" vertical="center" wrapText="1"/>
    </xf>
    <xf borderId="5" fillId="0" fontId="48" numFmtId="0" xfId="0" applyAlignment="1" applyBorder="1" applyFont="1">
      <alignment readingOrder="0" vertical="center"/>
    </xf>
    <xf borderId="0" fillId="26" fontId="42" numFmtId="0" xfId="0" applyAlignment="1" applyFont="1">
      <alignment readingOrder="0" shrinkToFit="0" vertical="center" wrapText="1"/>
    </xf>
    <xf borderId="0" fillId="0" fontId="49" numFmtId="0" xfId="0" applyAlignment="1" applyFont="1">
      <alignment readingOrder="0" shrinkToFit="0" vertical="center" wrapText="1"/>
    </xf>
    <xf borderId="15" fillId="22" fontId="18" numFmtId="0" xfId="0" applyAlignment="1" applyBorder="1" applyFont="1">
      <alignment readingOrder="0" shrinkToFit="0" vertical="center" wrapText="1"/>
    </xf>
    <xf borderId="16" fillId="0" fontId="20" numFmtId="0" xfId="0" applyBorder="1" applyFont="1"/>
    <xf borderId="16" fillId="0" fontId="18" numFmtId="0" xfId="0" applyAlignment="1" applyBorder="1" applyFont="1">
      <alignment shrinkToFit="0" vertical="center" wrapText="1"/>
    </xf>
    <xf borderId="16" fillId="37" fontId="18" numFmtId="0" xfId="0" applyAlignment="1" applyBorder="1" applyFont="1">
      <alignment shrinkToFit="0" vertical="center" wrapText="1"/>
    </xf>
    <xf borderId="16" fillId="0" fontId="18" numFmtId="9" xfId="0" applyAlignment="1" applyBorder="1" applyFont="1" applyNumberFormat="1">
      <alignment shrinkToFit="0" vertical="center" wrapText="1"/>
    </xf>
    <xf borderId="5" fillId="0" fontId="50" numFmtId="0" xfId="0" applyAlignment="1" applyBorder="1" applyFont="1">
      <alignment readingOrder="0" vertical="center"/>
    </xf>
    <xf borderId="16" fillId="0" fontId="51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readingOrder="0" vertical="center"/>
    </xf>
    <xf borderId="17" fillId="0" fontId="2" numFmtId="0" xfId="0" applyBorder="1" applyFont="1"/>
    <xf borderId="8" fillId="13" fontId="18" numFmtId="0" xfId="0" applyAlignment="1" applyBorder="1" applyFont="1">
      <alignment shrinkToFit="0" vertical="center" wrapText="1"/>
    </xf>
    <xf borderId="9" fillId="13" fontId="41" numFmtId="0" xfId="0" applyAlignment="1" applyBorder="1" applyFont="1">
      <alignment horizontal="center" shrinkToFit="0" vertical="center" wrapText="1"/>
    </xf>
    <xf borderId="12" fillId="13" fontId="18" numFmtId="0" xfId="0" applyAlignment="1" applyBorder="1" applyFont="1">
      <alignment shrinkToFit="0" vertical="center" wrapText="1"/>
    </xf>
    <xf borderId="0" fillId="26" fontId="18" numFmtId="0" xfId="0" applyAlignment="1" applyFont="1">
      <alignment readingOrder="0" shrinkToFit="0" vertical="center" wrapText="1"/>
    </xf>
    <xf borderId="0" fillId="26" fontId="2" numFmtId="0" xfId="0" applyAlignment="1" applyFont="1">
      <alignment readingOrder="0" vertical="center"/>
    </xf>
    <xf borderId="5" fillId="5" fontId="52" numFmtId="0" xfId="0" applyAlignment="1" applyBorder="1" applyFont="1">
      <alignment readingOrder="0" shrinkToFit="0" vertical="center" wrapText="1"/>
    </xf>
    <xf borderId="15" fillId="13" fontId="18" numFmtId="0" xfId="0" applyAlignment="1" applyBorder="1" applyFont="1">
      <alignment shrinkToFit="0" vertical="center" wrapText="1"/>
    </xf>
    <xf borderId="8" fillId="15" fontId="18" numFmtId="0" xfId="0" applyAlignment="1" applyBorder="1" applyFont="1">
      <alignment shrinkToFit="0" vertical="center" wrapText="1"/>
    </xf>
    <xf borderId="9" fillId="15" fontId="41" numFmtId="0" xfId="0" applyAlignment="1" applyBorder="1" applyFont="1">
      <alignment horizontal="center" shrinkToFit="0" vertical="center" wrapText="1"/>
    </xf>
    <xf borderId="12" fillId="15" fontId="18" numFmtId="0" xfId="0" applyAlignment="1" applyBorder="1" applyFont="1">
      <alignment shrinkToFit="0" vertical="center" wrapText="1"/>
    </xf>
    <xf borderId="7" fillId="38" fontId="40" numFmtId="0" xfId="0" applyAlignment="1" applyBorder="1" applyFill="1" applyFont="1">
      <alignment horizontal="center" readingOrder="0" shrinkToFit="0" vertical="center" wrapText="1"/>
    </xf>
    <xf borderId="7" fillId="38" fontId="2" numFmtId="0" xfId="0" applyAlignment="1" applyBorder="1" applyFont="1">
      <alignment horizontal="center" readingOrder="0" shrinkToFit="0" vertical="center" wrapText="1"/>
    </xf>
    <xf borderId="7" fillId="38" fontId="2" numFmtId="0" xfId="0" applyAlignment="1" applyBorder="1" applyFont="1">
      <alignment horizontal="center" readingOrder="0" vertical="center"/>
    </xf>
    <xf borderId="8" fillId="37" fontId="18" numFmtId="0" xfId="0" applyAlignment="1" applyBorder="1" applyFont="1">
      <alignment shrinkToFit="0" vertical="center" wrapText="1"/>
    </xf>
    <xf borderId="9" fillId="37" fontId="41" numFmtId="0" xfId="0" applyAlignment="1" applyBorder="1" applyFont="1">
      <alignment horizontal="center" shrinkToFit="0" vertical="center" wrapText="1"/>
    </xf>
    <xf borderId="9" fillId="26" fontId="42" numFmtId="0" xfId="0" applyAlignment="1" applyBorder="1" applyFont="1">
      <alignment readingOrder="0" shrinkToFit="0" vertical="center" wrapText="1"/>
    </xf>
    <xf borderId="12" fillId="37" fontId="18" numFmtId="0" xfId="0" applyAlignment="1" applyBorder="1" applyFont="1">
      <alignment shrinkToFit="0" vertical="center" wrapText="1"/>
    </xf>
    <xf borderId="7" fillId="15" fontId="40" numFmtId="0" xfId="0" applyAlignment="1" applyBorder="1" applyFont="1">
      <alignment horizontal="center" readingOrder="0" shrinkToFit="0" vertical="center" wrapText="1"/>
    </xf>
    <xf borderId="15" fillId="37" fontId="18" numFmtId="0" xfId="0" applyAlignment="1" applyBorder="1" applyFont="1">
      <alignment shrinkToFit="0" vertical="center" wrapText="1"/>
    </xf>
    <xf borderId="7" fillId="15" fontId="2" numFmtId="0" xfId="0" applyAlignment="1" applyBorder="1" applyFont="1">
      <alignment horizontal="center" readingOrder="0" shrinkToFit="0" vertical="center" wrapText="1"/>
    </xf>
    <xf borderId="16" fillId="33" fontId="18" numFmtId="0" xfId="0" applyAlignment="1" applyBorder="1" applyFont="1">
      <alignment shrinkToFit="0" vertical="center" wrapText="1"/>
    </xf>
    <xf borderId="7" fillId="15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vertical="center"/>
    </xf>
    <xf borderId="8" fillId="39" fontId="18" numFmtId="0" xfId="0" applyAlignment="1" applyBorder="1" applyFill="1" applyFont="1">
      <alignment shrinkToFit="0" vertical="center" wrapText="1"/>
    </xf>
    <xf borderId="9" fillId="39" fontId="41" numFmtId="0" xfId="0" applyAlignment="1" applyBorder="1" applyFont="1">
      <alignment horizontal="center" shrinkToFit="0" vertical="center" wrapText="1"/>
    </xf>
    <xf borderId="12" fillId="39" fontId="18" numFmtId="0" xfId="0" applyAlignment="1" applyBorder="1" applyFont="1">
      <alignment shrinkToFit="0" vertical="center" wrapText="1"/>
    </xf>
    <xf borderId="5" fillId="0" fontId="53" numFmtId="0" xfId="0" applyAlignment="1" applyBorder="1" applyFont="1">
      <alignment readingOrder="0" vertical="center"/>
    </xf>
    <xf borderId="5" fillId="0" fontId="54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55" numFmtId="0" xfId="0" applyAlignment="1" applyFont="1">
      <alignment readingOrder="0" shrinkToFit="0" vertical="center" wrapText="1"/>
    </xf>
    <xf borderId="0" fillId="0" fontId="56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15" fillId="39" fontId="18" numFmtId="0" xfId="0" applyAlignment="1" applyBorder="1" applyFont="1">
      <alignment shrinkToFit="0" vertical="center" wrapText="1"/>
    </xf>
    <xf borderId="16" fillId="0" fontId="57" numFmtId="0" xfId="0" applyAlignment="1" applyBorder="1" applyFont="1">
      <alignment readingOrder="0" shrinkToFit="0" vertical="center" wrapText="1"/>
    </xf>
    <xf borderId="8" fillId="40" fontId="18" numFmtId="0" xfId="0" applyAlignment="1" applyBorder="1" applyFill="1" applyFont="1">
      <alignment shrinkToFit="0" vertical="center" wrapText="1"/>
    </xf>
    <xf borderId="9" fillId="40" fontId="41" numFmtId="0" xfId="0" applyAlignment="1" applyBorder="1" applyFont="1">
      <alignment horizontal="center" shrinkToFit="0" vertical="center" wrapText="1"/>
    </xf>
    <xf borderId="12" fillId="40" fontId="18" numFmtId="0" xfId="0" applyAlignment="1" applyBorder="1" applyFont="1">
      <alignment shrinkToFit="0" vertical="center" wrapText="1"/>
    </xf>
    <xf borderId="5" fillId="0" fontId="58" numFmtId="0" xfId="0" applyAlignment="1" applyBorder="1" applyFont="1">
      <alignment readingOrder="0" shrinkToFit="0" vertical="center" wrapText="1"/>
    </xf>
    <xf borderId="7" fillId="40" fontId="2" numFmtId="0" xfId="0" applyAlignment="1" applyBorder="1" applyFont="1">
      <alignment horizontal="center" readingOrder="0" shrinkToFit="0" vertical="center" wrapText="1"/>
    </xf>
    <xf borderId="8" fillId="41" fontId="18" numFmtId="0" xfId="0" applyAlignment="1" applyBorder="1" applyFill="1" applyFont="1">
      <alignment shrinkToFit="0" vertical="center" wrapText="1"/>
    </xf>
    <xf borderId="9" fillId="41" fontId="41" numFmtId="0" xfId="0" applyAlignment="1" applyBorder="1" applyFont="1">
      <alignment horizontal="center" shrinkToFit="0" vertical="center" wrapText="1"/>
    </xf>
    <xf borderId="7" fillId="40" fontId="2" numFmtId="0" xfId="0" applyAlignment="1" applyBorder="1" applyFont="1">
      <alignment horizontal="center" readingOrder="0" vertical="center"/>
    </xf>
    <xf borderId="12" fillId="41" fontId="18" numFmtId="0" xfId="0" applyAlignment="1" applyBorder="1" applyFont="1">
      <alignment shrinkToFit="0" vertical="center" wrapText="1"/>
    </xf>
    <xf borderId="15" fillId="41" fontId="18" numFmtId="0" xfId="0" applyAlignment="1" applyBorder="1" applyFont="1">
      <alignment shrinkToFit="0" vertical="center" wrapText="1"/>
    </xf>
    <xf borderId="7" fillId="39" fontId="2" numFmtId="0" xfId="0" applyAlignment="1" applyBorder="1" applyFont="1">
      <alignment horizontal="center" readingOrder="0" shrinkToFit="0" vertical="center" wrapText="1"/>
    </xf>
    <xf borderId="7" fillId="39" fontId="2" numFmtId="0" xfId="0" applyAlignment="1" applyBorder="1" applyFont="1">
      <alignment horizontal="center" readingOrder="0" vertical="center"/>
    </xf>
    <xf borderId="9" fillId="4" fontId="42" numFmtId="0" xfId="0" applyAlignment="1" applyBorder="1" applyFont="1">
      <alignment readingOrder="0" shrinkToFit="0" vertical="center" wrapText="1"/>
    </xf>
    <xf borderId="9" fillId="4" fontId="18" numFmtId="0" xfId="0" applyAlignment="1" applyBorder="1" applyFont="1">
      <alignment shrinkToFit="0" vertical="center" wrapText="1"/>
    </xf>
    <xf borderId="9" fillId="4" fontId="43" numFmtId="0" xfId="0" applyAlignment="1" applyBorder="1" applyFont="1">
      <alignment readingOrder="0" vertical="center"/>
    </xf>
    <xf borderId="11" fillId="4" fontId="2" numFmtId="0" xfId="0" applyBorder="1" applyFont="1"/>
    <xf borderId="12" fillId="22" fontId="18" numFmtId="0" xfId="0" applyAlignment="1" applyBorder="1" applyFont="1">
      <alignment shrinkToFit="0" vertical="center" wrapText="1"/>
    </xf>
    <xf borderId="0" fillId="22" fontId="18" numFmtId="0" xfId="0" applyAlignment="1" applyFont="1">
      <alignment shrinkToFit="0" vertical="center" wrapText="1"/>
    </xf>
    <xf borderId="0" fillId="4" fontId="42" numFmtId="0" xfId="0" applyAlignment="1" applyFont="1">
      <alignment readingOrder="0" shrinkToFit="0" vertical="center" wrapText="1"/>
    </xf>
    <xf borderId="0" fillId="4" fontId="18" numFmtId="0" xfId="0" applyAlignment="1" applyFont="1">
      <alignment shrinkToFit="0" vertical="center" wrapText="1"/>
    </xf>
    <xf borderId="0" fillId="4" fontId="43" numFmtId="0" xfId="0" applyAlignment="1" applyFont="1">
      <alignment readingOrder="0" vertical="center"/>
    </xf>
    <xf borderId="14" fillId="4" fontId="2" numFmtId="0" xfId="0" applyBorder="1" applyFont="1"/>
    <xf borderId="0" fillId="0" fontId="59" numFmtId="0" xfId="0" applyAlignment="1" applyFont="1">
      <alignment readingOrder="0" shrinkToFit="0" vertical="center" wrapText="1"/>
    </xf>
    <xf borderId="15" fillId="22" fontId="18" numFmtId="0" xfId="0" applyAlignment="1" applyBorder="1" applyFont="1">
      <alignment shrinkToFit="0" vertical="center" wrapText="1"/>
    </xf>
    <xf borderId="7" fillId="41" fontId="2" numFmtId="0" xfId="0" applyAlignment="1" applyBorder="1" applyFont="1">
      <alignment horizontal="center" readingOrder="0" shrinkToFit="0" vertical="center" wrapText="1"/>
    </xf>
    <xf borderId="7" fillId="41" fontId="2" numFmtId="0" xfId="0" applyAlignment="1" applyBorder="1" applyFont="1">
      <alignment horizontal="center" readingOrder="0" vertical="center"/>
    </xf>
    <xf borderId="7" fillId="13" fontId="40" numFmtId="0" xfId="0" applyAlignment="1" applyBorder="1" applyFont="1">
      <alignment horizontal="center" readingOrder="0" shrinkToFit="0" vertical="center" wrapText="1"/>
    </xf>
    <xf borderId="7" fillId="13" fontId="2" numFmtId="0" xfId="0" applyAlignment="1" applyBorder="1" applyFont="1">
      <alignment horizontal="center" readingOrder="0" shrinkToFit="0" vertical="center" wrapText="1"/>
    </xf>
    <xf borderId="7" fillId="1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7" fillId="3" fontId="1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shrinkToFit="0" vertical="center" wrapText="1"/>
    </xf>
    <xf borderId="1" fillId="0" fontId="60" numFmtId="0" xfId="0" applyAlignment="1" applyBorder="1" applyFon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10" xfId="0" applyAlignment="1" applyBorder="1" applyFont="1" applyNumberFormat="1">
      <alignment horizontal="center" readingOrder="0" shrinkToFit="0" vertical="center" wrapText="1"/>
    </xf>
    <xf borderId="1" fillId="0" fontId="60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  <tableStyles count="54">
    <tableStyle count="3" pivot="0" name="Registro Nuevo - Reporte 2025 --style">
      <tableStyleElement dxfId="1" type="headerRow"/>
      <tableStyleElement dxfId="2" type="firstRowStripe"/>
      <tableStyleElement dxfId="3" type="secondRowStripe"/>
    </tableStyle>
    <tableStyle count="2" pivot="0" name="LISTA KPIS-style">
      <tableStyleElement dxfId="2" type="firstRowStripe"/>
      <tableStyleElement dxfId="3" type="secondRowStripe"/>
    </tableStyle>
    <tableStyle count="2" pivot="0" name="CRUCE GENERAL-style">
      <tableStyleElement dxfId="3" type="firstRowStripe"/>
      <tableStyleElement dxfId="2" type="secondRowStripe"/>
    </tableStyle>
    <tableStyle count="2" pivot="0" name="CRUCE GENERAL-style 2">
      <tableStyleElement dxfId="2" type="firstRowStripe"/>
      <tableStyleElement dxfId="3" type="secondRowStripe"/>
    </tableStyle>
    <tableStyle count="2" pivot="0" name="LISTA KPIS-style 2">
      <tableStyleElement dxfId="2" type="firstRowStripe"/>
      <tableStyleElement dxfId="3" type="secondRowStripe"/>
    </tableStyle>
    <tableStyle count="2" pivot="0" name="CRUCE GENERAL PLANES-style">
      <tableStyleElement dxfId="2" type="firstRowStripe"/>
      <tableStyleElement dxfId="3" type="secondRowStripe"/>
    </tableStyle>
    <tableStyle count="2" pivot="0" name="CRUCE GENERAL-style 3">
      <tableStyleElement dxfId="2" type="firstRowStripe"/>
      <tableStyleElement dxfId="3" type="secondRowStripe"/>
    </tableStyle>
    <tableStyle count="2" pivot="0" name="CRUCE GENERAL-style 4">
      <tableStyleElement dxfId="3" type="firstRowStripe"/>
      <tableStyleElement dxfId="2" type="secondRowStripe"/>
    </tableStyle>
    <tableStyle count="2" pivot="0" name="LISTA KPIS-style 3">
      <tableStyleElement dxfId="2" type="firstRowStripe"/>
      <tableStyleElement dxfId="3" type="secondRowStripe"/>
    </tableStyle>
    <tableStyle count="2" pivot="0" name="CRUCE GENERAL PLANES-style 2">
      <tableStyleElement dxfId="2" type="firstRowStripe"/>
      <tableStyleElement dxfId="3" type="secondRowStripe"/>
    </tableStyle>
    <tableStyle count="2" pivot="0" name="LISTA KPIS-style 4">
      <tableStyleElement dxfId="2" type="firstRowStripe"/>
      <tableStyleElement dxfId="3" type="secondRowStripe"/>
    </tableStyle>
    <tableStyle count="2" pivot="0" name="CRUCE GENERAL PLANES-style 3">
      <tableStyleElement dxfId="3" type="firstRowStripe"/>
      <tableStyleElement dxfId="2" type="secondRowStripe"/>
    </tableStyle>
    <tableStyle count="2" pivot="0" name="LISTA KPIS-style 5">
      <tableStyleElement dxfId="2" type="firstRowStripe"/>
      <tableStyleElement dxfId="3" type="secondRowStripe"/>
    </tableStyle>
    <tableStyle count="2" pivot="0" name="LISTA KPIS-style 6">
      <tableStyleElement dxfId="3" type="firstRowStripe"/>
      <tableStyleElement dxfId="2" type="secondRowStripe"/>
    </tableStyle>
    <tableStyle count="2" pivot="0" name="CRUCE GENERAL-style 5">
      <tableStyleElement dxfId="3" type="firstRowStripe"/>
      <tableStyleElement dxfId="2" type="secondRowStripe"/>
    </tableStyle>
    <tableStyle count="2" pivot="0" name="CRUCE GENERAL PLANES-style 4">
      <tableStyleElement dxfId="3" type="firstRowStripe"/>
      <tableStyleElement dxfId="2" type="secondRowStripe"/>
    </tableStyle>
    <tableStyle count="2" pivot="0" name="LISTA KPIS-style 7">
      <tableStyleElement dxfId="2" type="firstRowStripe"/>
      <tableStyleElement dxfId="3" type="secondRowStripe"/>
    </tableStyle>
    <tableStyle count="2" pivot="0" name="CRUCE GENERAL-style 6">
      <tableStyleElement dxfId="2" type="firstRowStripe"/>
      <tableStyleElement dxfId="3" type="secondRowStripe"/>
    </tableStyle>
    <tableStyle count="2" pivot="0" name="CRUCE GENERAL PLANES-style 5">
      <tableStyleElement dxfId="2" type="firstRowStripe"/>
      <tableStyleElement dxfId="3" type="secondRowStripe"/>
    </tableStyle>
    <tableStyle count="2" pivot="0" name="CRUCE GENERAL-style 7">
      <tableStyleElement dxfId="2" type="firstRowStripe"/>
      <tableStyleElement dxfId="3" type="secondRowStripe"/>
    </tableStyle>
    <tableStyle count="2" pivot="0" name="CRUCE GENERAL-style 8">
      <tableStyleElement dxfId="3" type="firstRowStripe"/>
      <tableStyleElement dxfId="2" type="secondRowStripe"/>
    </tableStyle>
    <tableStyle count="2" pivot="0" name="CRUCE GENERAL-style 9">
      <tableStyleElement dxfId="2" type="firstRowStripe"/>
      <tableStyleElement dxfId="3" type="secondRowStripe"/>
    </tableStyle>
    <tableStyle count="2" pivot="0" name="CRUCE GENERAL PLANES-style 6">
      <tableStyleElement dxfId="2" type="firstRowStripe"/>
      <tableStyleElement dxfId="3" type="secondRowStripe"/>
    </tableStyle>
    <tableStyle count="2" pivot="0" name="CRUCE GENERAL-style 10">
      <tableStyleElement dxfId="3" type="firstRowStripe"/>
      <tableStyleElement dxfId="2" type="secondRowStripe"/>
    </tableStyle>
    <tableStyle count="2" pivot="0" name="CRUCE GENERAL-style 11">
      <tableStyleElement dxfId="3" type="firstRowStripe"/>
      <tableStyleElement dxfId="2" type="secondRowStripe"/>
    </tableStyle>
    <tableStyle count="2" pivot="0" name="CRUCE GENERAL PLANES-style 7">
      <tableStyleElement dxfId="2" type="firstRowStripe"/>
      <tableStyleElement dxfId="3" type="secondRowStripe"/>
    </tableStyle>
    <tableStyle count="2" pivot="0" name="CRUCE GENERAL-style 12">
      <tableStyleElement dxfId="3" type="firstRowStripe"/>
      <tableStyleElement dxfId="2" type="secondRowStripe"/>
    </tableStyle>
    <tableStyle count="2" pivot="0" name="CRUCE GENERAL-style 13">
      <tableStyleElement dxfId="2" type="firstRowStripe"/>
      <tableStyleElement dxfId="3" type="secondRowStripe"/>
    </tableStyle>
    <tableStyle count="2" pivot="0" name="CRUCE GENERAL-style 14">
      <tableStyleElement dxfId="3" type="firstRowStripe"/>
      <tableStyleElement dxfId="2" type="secondRowStripe"/>
    </tableStyle>
    <tableStyle count="2" pivot="0" name="CRUCE GENERAL PLANES-style 8">
      <tableStyleElement dxfId="3" type="firstRowStripe"/>
      <tableStyleElement dxfId="2" type="secondRowStripe"/>
    </tableStyle>
    <tableStyle count="2" pivot="0" name="CRUCE GENERAL-style 15">
      <tableStyleElement dxfId="3" type="firstRowStripe"/>
      <tableStyleElement dxfId="2" type="secondRowStripe"/>
    </tableStyle>
    <tableStyle count="2" pivot="0" name="CRUCE GENERAL-style 16">
      <tableStyleElement dxfId="2" type="firstRowStripe"/>
      <tableStyleElement dxfId="3" type="secondRowStripe"/>
    </tableStyle>
    <tableStyle count="2" pivot="0" name="CRUCE GENERAL-style 17">
      <tableStyleElement dxfId="3" type="firstRowStripe"/>
      <tableStyleElement dxfId="2" type="secondRowStripe"/>
    </tableStyle>
    <tableStyle count="2" pivot="0" name="CRUCE GENERAL PLANES-style 9">
      <tableStyleElement dxfId="2" type="firstRowStripe"/>
      <tableStyleElement dxfId="3" type="secondRowStripe"/>
    </tableStyle>
    <tableStyle count="2" pivot="0" name="CRUCE GENERAL-style 18">
      <tableStyleElement dxfId="2" type="firstRowStripe"/>
      <tableStyleElement dxfId="3" type="secondRowStripe"/>
    </tableStyle>
    <tableStyle count="2" pivot="0" name="CRUCE GENERAL-style 19">
      <tableStyleElement dxfId="2" type="firstRowStripe"/>
      <tableStyleElement dxfId="3" type="secondRowStripe"/>
    </tableStyle>
    <tableStyle count="2" pivot="0" name="CRUCE GENERAL PLANES-style 10">
      <tableStyleElement dxfId="3" type="firstRowStripe"/>
      <tableStyleElement dxfId="2" type="secondRowStripe"/>
    </tableStyle>
    <tableStyle count="2" pivot="0" name="CRUCE GENERAL-style 20">
      <tableStyleElement dxfId="2" type="firstRowStripe"/>
      <tableStyleElement dxfId="3" type="secondRowStripe"/>
    </tableStyle>
    <tableStyle count="2" pivot="0" name="CRUCE GENERAL-style 21">
      <tableStyleElement dxfId="2" type="firstRowStripe"/>
      <tableStyleElement dxfId="3" type="secondRowStripe"/>
    </tableStyle>
    <tableStyle count="2" pivot="0" name="CRUCE GENERAL PLANES-style 11">
      <tableStyleElement dxfId="3" type="firstRowStripe"/>
      <tableStyleElement dxfId="2" type="secondRowStripe"/>
    </tableStyle>
    <tableStyle count="2" pivot="0" name="CRUCE GENERAL-style 22">
      <tableStyleElement dxfId="2" type="firstRowStripe"/>
      <tableStyleElement dxfId="3" type="secondRowStripe"/>
    </tableStyle>
    <tableStyle count="2" pivot="0" name="CRUCE GENERAL PLANES-style 12">
      <tableStyleElement dxfId="3" type="firstRowStripe"/>
      <tableStyleElement dxfId="2" type="secondRowStripe"/>
    </tableStyle>
    <tableStyle count="2" pivot="0" name="CRUCE GENERAL-style 23">
      <tableStyleElement dxfId="3" type="firstRowStripe"/>
      <tableStyleElement dxfId="2" type="secondRowStripe"/>
    </tableStyle>
    <tableStyle count="2" pivot="0" name="CRUCE GENERAL PLANES-style 13">
      <tableStyleElement dxfId="2" type="firstRowStripe"/>
      <tableStyleElement dxfId="3" type="secondRowStripe"/>
    </tableStyle>
    <tableStyle count="2" pivot="0" name="CRUCE GENERAL-style 24">
      <tableStyleElement dxfId="2" type="firstRowStripe"/>
      <tableStyleElement dxfId="3" type="secondRowStripe"/>
    </tableStyle>
    <tableStyle count="2" pivot="0" name="CRUCE GENERAL PLANES-style 14">
      <tableStyleElement dxfId="3" type="firstRowStripe"/>
      <tableStyleElement dxfId="2" type="secondRowStripe"/>
    </tableStyle>
    <tableStyle count="2" pivot="0" name="CRUCE GENERAL PLANES-style 15">
      <tableStyleElement dxfId="3" type="firstRowStripe"/>
      <tableStyleElement dxfId="2" type="secondRowStripe"/>
    </tableStyle>
    <tableStyle count="2" pivot="0" name="CRUCE GENERAL PLANES-style 16">
      <tableStyleElement dxfId="2" type="firstRowStripe"/>
      <tableStyleElement dxfId="3" type="secondRowStripe"/>
    </tableStyle>
    <tableStyle count="2" pivot="0" name="CRUCE GENERAL PLANES-style 17">
      <tableStyleElement dxfId="2" type="firstRowStripe"/>
      <tableStyleElement dxfId="3" type="secondRowStripe"/>
    </tableStyle>
    <tableStyle count="2" pivot="0" name="CRUCE GENERAL PLANES-style 18">
      <tableStyleElement dxfId="2" type="firstRowStripe"/>
      <tableStyleElement dxfId="3" type="secondRowStripe"/>
    </tableStyle>
    <tableStyle count="2" pivot="0" name="CRUCE GENERAL PLANES-style 19">
      <tableStyleElement dxfId="2" type="firstRowStripe"/>
      <tableStyleElement dxfId="3" type="secondRowStripe"/>
    </tableStyle>
    <tableStyle count="2" pivot="0" name="CRUCE GENERAL PLANES-style 20">
      <tableStyleElement dxfId="2" type="firstRowStripe"/>
      <tableStyleElement dxfId="3" type="secondRowStripe"/>
    </tableStyle>
    <tableStyle count="2" pivot="0" name="CRUCE GENERAL PLANES-style 21">
      <tableStyleElement dxfId="3" type="firstRowStripe"/>
      <tableStyleElement dxfId="2" type="secondRowStripe"/>
    </tableStyle>
    <tableStyle count="2" pivot="0" name="CRUCE GENERAL PLANES-style 2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ía del Rosario Marceliano Chaparro" id="{9d7395f7-3b0d-46b2-aa35-ddd82b81d478}" providerId="google-sheets"/>
</x18tc:personList>
</file>

<file path=xl/tables/table1.xml><?xml version="1.0" encoding="utf-8"?>
<table xmlns="http://schemas.openxmlformats.org/spreadsheetml/2006/main" headerRowCount="0" ref="H3:H30" displayName="Table_1" name="Table_1" id="1">
  <tableColumns count="1">
    <tableColumn name="Column1" id="1"/>
  </tableColumns>
  <tableStyleInfo name="Registro Nuevo - Reporte 2025 -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3:E30" displayName="Table_3" name="Table_3" id="3">
  <tableColumns count="1">
    <tableColumn name="Column1" id="1"/>
  </tableColumns>
  <tableStyleInfo name="CRUCE GENERAL-style" showColumnStripes="0" showFirstColumn="1" showLastColumn="1" showRowStripes="1"/>
</table>
</file>

<file path=xl/tables/table3.xml><?xml version="1.0" encoding="utf-8"?>
<table xmlns="http://schemas.openxmlformats.org/spreadsheetml/2006/main" headerRowCount="0" ref="D47" displayName="Table_6" name="Table_6" id="6">
  <tableColumns count="1">
    <tableColumn name="Column1" id="1"/>
  </tableColumns>
  <tableStyleInfo name="CRUCE GENERAL-style 2" showColumnStripes="0" showFirstColumn="1" showLastColumn="1" showRowStripes="1"/>
</table>
</file>

<file path=xl/tables/table4.xml><?xml version="1.0" encoding="utf-8"?>
<table xmlns="http://schemas.openxmlformats.org/spreadsheetml/2006/main" headerRowCount="0" ref="D49" displayName="Table_7" name="Table_7" id="7">
  <tableColumns count="1">
    <tableColumn name="Column1" id="1"/>
  </tableColumns>
  <tableStyleInfo name="CRUCE GENERAL-style 3" showColumnStripes="0" showFirstColumn="1" showLastColumn="1" showRowStripes="1"/>
</table>
</file>

<file path=xl/tables/table5.xml><?xml version="1.0" encoding="utf-8"?>
<table xmlns="http://schemas.openxmlformats.org/spreadsheetml/2006/main" headerRowCount="0" ref="D51" displayName="Table_10" name="Table_10" id="10">
  <tableColumns count="1">
    <tableColumn name="Column1" id="1"/>
  </tableColumns>
  <tableStyleInfo name="CRUCE GENERAL-style 4" showColumnStripes="0" showFirstColumn="1" showLastColumn="1" showRowStripes="1"/>
</table>
</file>

<file path=xl/tables/table6.xml><?xml version="1.0" encoding="utf-8"?>
<table xmlns="http://schemas.openxmlformats.org/spreadsheetml/2006/main" headerRowCount="0" ref="D53" displayName="Table_11" name="Table_11" id="11">
  <tableColumns count="1">
    <tableColumn name="Column1" id="1"/>
  </tableColumns>
  <tableStyleInfo name="CRUCE GENERAL-style 5" showColumnStripes="0" showFirstColumn="1" showLastColumn="1" showRowStripes="1"/>
</table>
</file>

<file path=xl/tables/table7.xml><?xml version="1.0" encoding="utf-8"?>
<table xmlns="http://schemas.openxmlformats.org/spreadsheetml/2006/main" headerRowCount="0" ref="D55" displayName="Table_18" name="Table_18" id="18">
  <tableColumns count="1">
    <tableColumn name="Column1" id="1"/>
  </tableColumns>
  <tableStyleInfo name="CRUCE GENERAL-style 6" showColumnStripes="0" showFirstColumn="1" showLastColumn="1" showRowStripes="1"/>
</table>
</file>

<file path=xl/tables/table8.xml><?xml version="1.0" encoding="utf-8"?>
<table xmlns="http://schemas.openxmlformats.org/spreadsheetml/2006/main" headerRowCount="0" ref="D57" displayName="Table_20" name="Table_20" id="20">
  <tableColumns count="1">
    <tableColumn name="Column1" id="1"/>
  </tableColumns>
  <tableStyleInfo name="CRUCE GENERAL-style 7" showColumnStripes="0" showFirstColumn="1" showLastColumn="1" showRowStripes="1"/>
</table>
</file>

<file path=xl/tables/table9.xml><?xml version="1.0" encoding="utf-8"?>
<table xmlns="http://schemas.openxmlformats.org/spreadsheetml/2006/main" headerRowCount="0" ref="D60" displayName="Table_21" name="Table_21" id="21">
  <tableColumns count="1">
    <tableColumn name="Column1" id="1"/>
  </tableColumns>
  <tableStyleInfo name="CRUCE GENERAL-style 8" showColumnStripes="0" showFirstColumn="1" showLastColumn="1" showRowStripes="1"/>
</table>
</file>

<file path=xl/tables/table10.xml><?xml version="1.0" encoding="utf-8"?>
<table xmlns="http://schemas.openxmlformats.org/spreadsheetml/2006/main" headerRowCount="0" ref="D62" displayName="Table_23" name="Table_23" id="23">
  <tableColumns count="1">
    <tableColumn name="Column1" id="1"/>
  </tableColumns>
  <tableStyleInfo name="CRUCE GENERAL-style 9" showColumnStripes="0" showFirstColumn="1" showLastColumn="1" showRowStripes="1"/>
</table>
</file>

<file path=xl/tables/table11.xml><?xml version="1.0" encoding="utf-8"?>
<table xmlns="http://schemas.openxmlformats.org/spreadsheetml/2006/main" headerRowCount="0" ref="D64" displayName="Table_24" name="Table_24" id="24">
  <tableColumns count="1">
    <tableColumn name="Column1" id="1"/>
  </tableColumns>
  <tableStyleInfo name="CRUCE GENERAL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D66" displayName="Table_26" name="Table_26" id="26">
  <tableColumns count="1">
    <tableColumn name="Column1" id="1"/>
  </tableColumns>
  <tableStyleInfo name="CRUCE GENERAL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D69" displayName="Table_27" name="Table_27" id="27">
  <tableColumns count="1">
    <tableColumn name="Column1" id="1"/>
  </tableColumns>
  <tableStyleInfo name="CRUCE GENERAL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D71" displayName="Table_28" name="Table_28" id="29">
  <tableColumns count="1">
    <tableColumn name="Column1" id="1"/>
  </tableColumns>
  <tableStyleInfo name="CRUCE GENERAL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D73" displayName="Table_30" name="Table_30" id="30">
  <tableColumns count="1">
    <tableColumn name="Column1" id="1"/>
  </tableColumns>
  <tableStyleInfo name="CRUCE GENERAL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D75" displayName="Table_31" name="Table_31" id="31">
  <tableColumns count="1">
    <tableColumn name="Column1" id="1"/>
  </tableColumns>
  <tableStyleInfo name="CRUCE GENERAL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D77" displayName="Table_32" name="Table_32" id="32">
  <tableColumns count="1">
    <tableColumn name="Column1" id="1"/>
  </tableColumns>
  <tableStyleInfo name="CRUCE GENERAL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D85" displayName="Table_34" name="Table_34" id="34">
  <tableColumns count="1">
    <tableColumn name="Column1" id="1"/>
  </tableColumns>
  <tableStyleInfo name="CRUCE GENERAL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D87" displayName="Table_35" name="Table_35" id="35">
  <tableColumns count="1">
    <tableColumn name="Column1" id="1"/>
  </tableColumns>
  <tableStyleInfo name="CRUCE GENERAL-style 18" showColumnStripes="0" showFirstColumn="1" showLastColumn="1" showRowStripes="1"/>
</table>
</file>

<file path=xl/tables/table20.xml><?xml version="1.0" encoding="utf-8"?>
<table xmlns="http://schemas.openxmlformats.org/spreadsheetml/2006/main" headerRowCount="0" ref="D91" displayName="Table_36" name="Table_36" id="37">
  <tableColumns count="1">
    <tableColumn name="Column1" id="1"/>
  </tableColumns>
  <tableStyleInfo name="CRUCE GENERAL-style 19" showColumnStripes="0" showFirstColumn="1" showLastColumn="1" showRowStripes="1"/>
</table>
</file>

<file path=xl/tables/table21.xml><?xml version="1.0" encoding="utf-8"?>
<table xmlns="http://schemas.openxmlformats.org/spreadsheetml/2006/main" headerRowCount="0" ref="D93" displayName="Table_38" name="Table_38" id="38">
  <tableColumns count="1">
    <tableColumn name="Column1" id="1"/>
  </tableColumns>
  <tableStyleInfo name="CRUCE GENERAL-style 20" showColumnStripes="0" showFirstColumn="1" showLastColumn="1" showRowStripes="1"/>
</table>
</file>

<file path=xl/tables/table22.xml><?xml version="1.0" encoding="utf-8"?>
<table xmlns="http://schemas.openxmlformats.org/spreadsheetml/2006/main" headerRowCount="0" ref="D95" displayName="Table_39" name="Table_39" id="40">
  <tableColumns count="1">
    <tableColumn name="Column1" id="1"/>
  </tableColumns>
  <tableStyleInfo name="CRUCE GENERAL-style 21" showColumnStripes="0" showFirstColumn="1" showLastColumn="1" showRowStripes="1"/>
</table>
</file>

<file path=xl/tables/table23.xml><?xml version="1.0" encoding="utf-8"?>
<table xmlns="http://schemas.openxmlformats.org/spreadsheetml/2006/main" headerRowCount="0" ref="D97" displayName="Table_41" name="Table_41" id="41">
  <tableColumns count="1">
    <tableColumn name="Column1" id="1"/>
  </tableColumns>
  <tableStyleInfo name="CRUCE GENERAL-style 22" showColumnStripes="0" showFirstColumn="1" showLastColumn="1" showRowStripes="1"/>
</table>
</file>

<file path=xl/tables/table24.xml><?xml version="1.0" encoding="utf-8"?>
<table xmlns="http://schemas.openxmlformats.org/spreadsheetml/2006/main" headerRowCount="0" ref="D99:D101" displayName="Table_43" name="Table_43" id="43">
  <tableColumns count="1">
    <tableColumn name="Column1" id="1"/>
  </tableColumns>
  <tableStyleInfo name="CRUCE GENERAL-style 23" showColumnStripes="0" showFirstColumn="1" showLastColumn="1" showRowStripes="1"/>
</table>
</file>

<file path=xl/tables/table25.xml><?xml version="1.0" encoding="utf-8"?>
<table xmlns="http://schemas.openxmlformats.org/spreadsheetml/2006/main" headerRowCount="0" ref="D103" displayName="Table_45" name="Table_45" id="45">
  <tableColumns count="1">
    <tableColumn name="Column1" id="1"/>
  </tableColumns>
  <tableStyleInfo name="CRUCE GENERAL-style 24" showColumnStripes="0" showFirstColumn="1" showLastColumn="1" showRowStripes="1"/>
</table>
</file>

<file path=xl/tables/table26.xml><?xml version="1.0" encoding="utf-8"?>
<table xmlns="http://schemas.openxmlformats.org/spreadsheetml/2006/main" headerRowCount="0" ref="E9" displayName="Table_4" name="Table_4" id="4">
  <tableColumns count="1">
    <tableColumn name="Column1" id="1"/>
  </tableColumns>
  <tableStyleInfo name="CRUCE GENERAL PLANES-style" showColumnStripes="0" showFirstColumn="1" showLastColumn="1" showRowStripes="1"/>
</table>
</file>

<file path=xl/tables/table27.xml><?xml version="1.0" encoding="utf-8"?>
<table xmlns="http://schemas.openxmlformats.org/spreadsheetml/2006/main" headerRowCount="0" ref="E11" displayName="Table_9" name="Table_9" id="9">
  <tableColumns count="1">
    <tableColumn name="Column1" id="1"/>
  </tableColumns>
  <tableStyleInfo name="CRUCE GENERAL PLANES-style 2" showColumnStripes="0" showFirstColumn="1" showLastColumn="1" showRowStripes="1"/>
</table>
</file>

<file path=xl/tables/table28.xml><?xml version="1.0" encoding="utf-8"?>
<table xmlns="http://schemas.openxmlformats.org/spreadsheetml/2006/main" headerRowCount="0" ref="E13" displayName="Table_12" name="Table_12" id="13">
  <tableColumns count="1">
    <tableColumn name="Column1" id="1"/>
  </tableColumns>
  <tableStyleInfo name="CRUCE GENERAL PLANES-style 3" showColumnStripes="0" showFirstColumn="1" showLastColumn="1" showRowStripes="1"/>
</table>
</file>

<file path=xl/tables/table29.xml><?xml version="1.0" encoding="utf-8"?>
<table xmlns="http://schemas.openxmlformats.org/spreadsheetml/2006/main" headerRowCount="0" ref="E15" displayName="Table_15" name="Table_15" id="15">
  <tableColumns count="1">
    <tableColumn name="Column1" id="1"/>
  </tableColumns>
  <tableStyleInfo name="CRUCE GENERAL PLANES-style 4" showColumnStripes="0" showFirstColumn="1" showLastColumn="1" showRowStripes="1"/>
</table>
</file>

<file path=xl/tables/table30.xml><?xml version="1.0" encoding="utf-8"?>
<table xmlns="http://schemas.openxmlformats.org/spreadsheetml/2006/main" headerRowCount="0" ref="E17" displayName="Table_19" name="Table_19" id="19">
  <tableColumns count="1">
    <tableColumn name="Column1" id="1"/>
  </tableColumns>
  <tableStyleInfo name="CRUCE GENERAL PLANES-style 5" showColumnStripes="0" showFirstColumn="1" showLastColumn="1" showRowStripes="1"/>
</table>
</file>

<file path=xl/tables/table31.xml><?xml version="1.0" encoding="utf-8"?>
<table xmlns="http://schemas.openxmlformats.org/spreadsheetml/2006/main" headerRowCount="0" ref="E19" displayName="Table_22" name="Table_22" id="22">
  <tableColumns count="1">
    <tableColumn name="Column1" id="1"/>
  </tableColumns>
  <tableStyleInfo name="CRUCE GENERAL PLANES-style 6" showColumnStripes="0" showFirstColumn="1" showLastColumn="1" showRowStripes="1"/>
</table>
</file>

<file path=xl/tables/table32.xml><?xml version="1.0" encoding="utf-8"?>
<table xmlns="http://schemas.openxmlformats.org/spreadsheetml/2006/main" headerRowCount="0" ref="E21" displayName="Table_25" name="Table_25" id="25">
  <tableColumns count="1">
    <tableColumn name="Column1" id="1"/>
  </tableColumns>
  <tableStyleInfo name="CRUCE GENERAL PLANES-style 7" showColumnStripes="0" showFirstColumn="1" showLastColumn="1" showRowStripes="1"/>
</table>
</file>

<file path=xl/tables/table33.xml><?xml version="1.0" encoding="utf-8"?>
<table xmlns="http://schemas.openxmlformats.org/spreadsheetml/2006/main" headerRowCount="0" ref="E23" displayName="Table_29" name="Table_29" id="28">
  <tableColumns count="1">
    <tableColumn name="Column1" id="1"/>
  </tableColumns>
  <tableStyleInfo name="CRUCE GENERAL PLANES-style 8" showColumnStripes="0" showFirstColumn="1" showLastColumn="1" showRowStripes="1"/>
</table>
</file>

<file path=xl/tables/table34.xml><?xml version="1.0" encoding="utf-8"?>
<table xmlns="http://schemas.openxmlformats.org/spreadsheetml/2006/main" headerRowCount="0" ref="E28" displayName="Table_33" name="Table_33" id="33">
  <tableColumns count="1">
    <tableColumn name="Column1" id="1"/>
  </tableColumns>
  <tableStyleInfo name="CRUCE GENERAL PLANES-style 9" showColumnStripes="0" showFirstColumn="1" showLastColumn="1" showRowStripes="1"/>
</table>
</file>

<file path=xl/tables/table35.xml><?xml version="1.0" encoding="utf-8"?>
<table xmlns="http://schemas.openxmlformats.org/spreadsheetml/2006/main" headerRowCount="0" ref="E30" displayName="Table_37" name="Table_37" id="36">
  <tableColumns count="1">
    <tableColumn name="Column1" id="1"/>
  </tableColumns>
  <tableStyleInfo name="CRUCE GENERAL PLANES-style 10" showColumnStripes="0" showFirstColumn="1" showLastColumn="1" showRowStripes="1"/>
</table>
</file>

<file path=xl/tables/table36.xml><?xml version="1.0" encoding="utf-8"?>
<table xmlns="http://schemas.openxmlformats.org/spreadsheetml/2006/main" headerRowCount="0" ref="E32" displayName="Table_40" name="Table_40" id="39">
  <tableColumns count="1">
    <tableColumn name="Column1" id="1"/>
  </tableColumns>
  <tableStyleInfo name="CRUCE GENERAL PLANES-style 11" showColumnStripes="0" showFirstColumn="1" showLastColumn="1" showRowStripes="1"/>
</table>
</file>

<file path=xl/tables/table37.xml><?xml version="1.0" encoding="utf-8"?>
<table xmlns="http://schemas.openxmlformats.org/spreadsheetml/2006/main" headerRowCount="0" ref="E34" displayName="Table_42" name="Table_42" id="42">
  <tableColumns count="1">
    <tableColumn name="Column1" id="1"/>
  </tableColumns>
  <tableStyleInfo name="CRUCE GENERAL PLANES-style 12" showColumnStripes="0" showFirstColumn="1" showLastColumn="1" showRowStripes="1"/>
</table>
</file>

<file path=xl/tables/table38.xml><?xml version="1.0" encoding="utf-8"?>
<table xmlns="http://schemas.openxmlformats.org/spreadsheetml/2006/main" headerRowCount="0" ref="E36" displayName="Table_44" name="Table_44" id="44">
  <tableColumns count="1">
    <tableColumn name="Column1" id="1"/>
  </tableColumns>
  <tableStyleInfo name="CRUCE GENERAL PLANES-style 13" showColumnStripes="0" showFirstColumn="1" showLastColumn="1" showRowStripes="1"/>
</table>
</file>

<file path=xl/tables/table39.xml><?xml version="1.0" encoding="utf-8"?>
<table xmlns="http://schemas.openxmlformats.org/spreadsheetml/2006/main" headerRowCount="0" ref="E38" displayName="Table_46" name="Table_46" id="46">
  <tableColumns count="1">
    <tableColumn name="Column1" id="1"/>
  </tableColumns>
  <tableStyleInfo name="CRUCE GENERAL PLANES-style 14" showColumnStripes="0" showFirstColumn="1" showLastColumn="1" showRowStripes="1"/>
</table>
</file>

<file path=xl/tables/table40.xml><?xml version="1.0" encoding="utf-8"?>
<table xmlns="http://schemas.openxmlformats.org/spreadsheetml/2006/main" headerRowCount="0" ref="E40" displayName="Table_47" name="Table_47" id="47">
  <tableColumns count="1">
    <tableColumn name="Column1" id="1"/>
  </tableColumns>
  <tableStyleInfo name="CRUCE GENERAL PLANES-style 15" showColumnStripes="0" showFirstColumn="1" showLastColumn="1" showRowStripes="1"/>
</table>
</file>

<file path=xl/tables/table41.xml><?xml version="1.0" encoding="utf-8"?>
<table xmlns="http://schemas.openxmlformats.org/spreadsheetml/2006/main" headerRowCount="0" ref="E42" displayName="Table_48" name="Table_48" id="48">
  <tableColumns count="1">
    <tableColumn name="Column1" id="1"/>
  </tableColumns>
  <tableStyleInfo name="CRUCE GENERAL PLANES-style 16" showColumnStripes="0" showFirstColumn="1" showLastColumn="1" showRowStripes="1"/>
</table>
</file>

<file path=xl/tables/table42.xml><?xml version="1.0" encoding="utf-8"?>
<table xmlns="http://schemas.openxmlformats.org/spreadsheetml/2006/main" headerRowCount="0" ref="E51" displayName="Table_49" name="Table_49" id="49">
  <tableColumns count="1">
    <tableColumn name="Column1" id="1"/>
  </tableColumns>
  <tableStyleInfo name="CRUCE GENERAL PLANES-style 17" showColumnStripes="0" showFirstColumn="1" showLastColumn="1" showRowStripes="1"/>
</table>
</file>

<file path=xl/tables/table43.xml><?xml version="1.0" encoding="utf-8"?>
<table xmlns="http://schemas.openxmlformats.org/spreadsheetml/2006/main" headerRowCount="0" ref="E53" displayName="Table_50" name="Table_50" id="50">
  <tableColumns count="1">
    <tableColumn name="Column1" id="1"/>
  </tableColumns>
  <tableStyleInfo name="CRUCE GENERAL PLANES-style 18" showColumnStripes="0" showFirstColumn="1" showLastColumn="1" showRowStripes="1"/>
</table>
</file>

<file path=xl/tables/table44.xml><?xml version="1.0" encoding="utf-8"?>
<table xmlns="http://schemas.openxmlformats.org/spreadsheetml/2006/main" headerRowCount="0" ref="E55" displayName="Table_51" name="Table_51" id="51">
  <tableColumns count="1">
    <tableColumn name="Column1" id="1"/>
  </tableColumns>
  <tableStyleInfo name="CRUCE GENERAL PLANES-style 19" showColumnStripes="0" showFirstColumn="1" showLastColumn="1" showRowStripes="1"/>
</table>
</file>

<file path=xl/tables/table45.xml><?xml version="1.0" encoding="utf-8"?>
<table xmlns="http://schemas.openxmlformats.org/spreadsheetml/2006/main" headerRowCount="0" ref="E57" displayName="Table_52" name="Table_52" id="52">
  <tableColumns count="1">
    <tableColumn name="Column1" id="1"/>
  </tableColumns>
  <tableStyleInfo name="CRUCE GENERAL PLANES-style 20" showColumnStripes="0" showFirstColumn="1" showLastColumn="1" showRowStripes="1"/>
</table>
</file>

<file path=xl/tables/table46.xml><?xml version="1.0" encoding="utf-8"?>
<table xmlns="http://schemas.openxmlformats.org/spreadsheetml/2006/main" headerRowCount="0" ref="E59:E61" displayName="Table_53" name="Table_53" id="53">
  <tableColumns count="1">
    <tableColumn name="Column1" id="1"/>
  </tableColumns>
  <tableStyleInfo name="CRUCE GENERAL PLANES-style 21" showColumnStripes="0" showFirstColumn="1" showLastColumn="1" showRowStripes="1"/>
</table>
</file>

<file path=xl/tables/table47.xml><?xml version="1.0" encoding="utf-8"?>
<table xmlns="http://schemas.openxmlformats.org/spreadsheetml/2006/main" headerRowCount="0" ref="E63" displayName="Table_54" name="Table_54" id="54">
  <tableColumns count="1">
    <tableColumn name="Column1" id="1"/>
  </tableColumns>
  <tableStyleInfo name="CRUCE GENERAL PLANES-style 22" showColumnStripes="0" showFirstColumn="1" showLastColumn="1" showRowStripes="1"/>
</table>
</file>

<file path=xl/tables/table48.xml><?xml version="1.0" encoding="utf-8"?>
<table xmlns="http://schemas.openxmlformats.org/spreadsheetml/2006/main" headerRowCount="0" ref="E36:F36" displayName="Table_2" name="Table_2" id="2">
  <tableColumns count="2">
    <tableColumn name="Column1" id="1"/>
    <tableColumn name="Column2" id="2"/>
  </tableColumns>
  <tableStyleInfo name="LISTA KPIS-style" showColumnStripes="0" showFirstColumn="1" showLastColumn="1" showRowStripes="1"/>
</table>
</file>

<file path=xl/tables/table49.xml><?xml version="1.0" encoding="utf-8"?>
<table xmlns="http://schemas.openxmlformats.org/spreadsheetml/2006/main" headerRowCount="0" ref="E42:F42" displayName="Table_5" name="Table_5" id="5">
  <tableColumns count="2">
    <tableColumn name="Column1" id="1"/>
    <tableColumn name="Column2" id="2"/>
  </tableColumns>
  <tableStyleInfo name="LISTA KPIS-style 2" showColumnStripes="0" showFirstColumn="1" showLastColumn="1" showRowStripes="1"/>
</table>
</file>

<file path=xl/tables/table50.xml><?xml version="1.0" encoding="utf-8"?>
<table xmlns="http://schemas.openxmlformats.org/spreadsheetml/2006/main" headerRowCount="0" ref="E44:F44" displayName="Table_8" name="Table_8" id="8">
  <tableColumns count="2">
    <tableColumn name="Column1" id="1"/>
    <tableColumn name="Column2" id="2"/>
  </tableColumns>
  <tableStyleInfo name="LISTA KPIS-style 3" showColumnStripes="0" showFirstColumn="1" showLastColumn="1" showRowStripes="1"/>
</table>
</file>

<file path=xl/tables/table51.xml><?xml version="1.0" encoding="utf-8"?>
<table xmlns="http://schemas.openxmlformats.org/spreadsheetml/2006/main" headerRowCount="0" ref="E46:F46" displayName="Table_13" name="Table_13" id="12">
  <tableColumns count="2">
    <tableColumn name="Column1" id="1"/>
    <tableColumn name="Column2" id="2"/>
  </tableColumns>
  <tableStyleInfo name="LISTA KPIS-style 4" showColumnStripes="0" showFirstColumn="1" showLastColumn="1" showRowStripes="1"/>
</table>
</file>

<file path=xl/tables/table52.xml><?xml version="1.0" encoding="utf-8"?>
<table xmlns="http://schemas.openxmlformats.org/spreadsheetml/2006/main" headerRowCount="0" ref="E48:F48" displayName="Table_14" name="Table_14" id="14">
  <tableColumns count="2">
    <tableColumn name="Column1" id="1"/>
    <tableColumn name="Column2" id="2"/>
  </tableColumns>
  <tableStyleInfo name="LISTA KPIS-style 5" showColumnStripes="0" showFirstColumn="1" showLastColumn="1" showRowStripes="1"/>
</table>
</file>

<file path=xl/tables/table53.xml><?xml version="1.0" encoding="utf-8"?>
<table xmlns="http://schemas.openxmlformats.org/spreadsheetml/2006/main" headerRowCount="0" ref="E50:F52" displayName="Table_16" name="Table_16" id="16">
  <tableColumns count="2">
    <tableColumn name="Column1" id="1"/>
    <tableColumn name="Column2" id="2"/>
  </tableColumns>
  <tableStyleInfo name="LISTA KPIS-style 6" showColumnStripes="0" showFirstColumn="1" showLastColumn="1" showRowStripes="1"/>
</table>
</file>

<file path=xl/tables/table54.xml><?xml version="1.0" encoding="utf-8"?>
<table xmlns="http://schemas.openxmlformats.org/spreadsheetml/2006/main" headerRowCount="0" ref="E54:F54" displayName="Table_17" name="Table_17" id="17">
  <tableColumns count="2">
    <tableColumn name="Column1" id="1"/>
    <tableColumn name="Column2" id="2"/>
  </tableColumns>
  <tableStyleInfo name="LISTA KPI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8" dT="2026-07-17T16:46:28.00" personId="{9d7395f7-3b0d-46b2-aa35-ddd82b81d478}" id="{d6b49070-18ba-4962-84a3-82f0c5d68390}" done="1">
    <x18tc:text xml:space="preserve">10 % de participación y solo PRME</x18tc:text>
  </x18tc:threadedComment>
  <x18tc:threadedComment ref="O8" dT="2026-07-17T16:46:44.00" personId="{9d7395f7-3b0d-46b2-aa35-ddd82b81d478}" id="{79a79b52-552d-40a3-9749-f1117662a966}" done="0">
    <x18tc:text xml:space="preserve">parcialmente</x18tc:text>
  </x18tc:threadedComment>
  <x18tc:threadedComment ref="M22" dT="2026-07-17T16:58:45.00" personId="{9d7395f7-3b0d-46b2-aa35-ddd82b81d478}" id="{6b04105a-c82b-4a6d-a23c-0b9cb81d97db}" done="1">
    <x18tc:text xml:space="preserve">obtener el porcentaje</x18tc:text>
  </x18tc:threadedComment>
  <x18tc:threadedComment ref="M25" dT="2026-07-17T16:59:56.00" personId="{9d7395f7-3b0d-46b2-aa35-ddd82b81d478}" id="{f59c9c07-448a-4f1e-aaad-e5bf842dc62a}" done="0">
    <x18tc:text xml:space="preserve">¿Qué porcentaje de nuestra comunidad participó al menos una vez durante el año?
Cobertura de participación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3dFlvh_73Nft6YYf0AvPWoByR80BknofgAKO1R5gusQ/edit?usp=sharing" TargetMode="External"/><Relationship Id="rId22" Type="http://schemas.openxmlformats.org/officeDocument/2006/relationships/hyperlink" Target="https://docs.google.com/spreadsheets/d/1DO8PuDas2OPdtnPAeii96zm_4h5Y1EgL4TFvRVCwZPo/edit?gid=0" TargetMode="External"/><Relationship Id="rId21" Type="http://schemas.openxmlformats.org/officeDocument/2006/relationships/hyperlink" Target="https://docs.google.com/spreadsheets/d/1DO8PuDas2OPdtnPAeii96zm_4h5Y1EgL4TFvRVCwZPo/edit?gid=0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gOejDSsLOS0mqTXNc5ZvZMOC3fq8XoRU/view?usp=drive_link" TargetMode="External"/><Relationship Id="rId9" Type="http://schemas.openxmlformats.org/officeDocument/2006/relationships/hyperlink" Target="https://docs.google.com/spreadsheets/d/1swjlYk0nXVaJDEj7bZHpWY64QRoXP2v-yw5BmSt1Jfw/edit?usp=sharing" TargetMode="External"/><Relationship Id="rId25" Type="http://schemas.openxmlformats.org/officeDocument/2006/relationships/vmlDrawing" Target="../drawings/vmlDrawing1.vml"/><Relationship Id="rId27" Type="http://schemas.openxmlformats.org/officeDocument/2006/relationships/table" Target="../tables/table1.xml"/><Relationship Id="rId5" Type="http://schemas.openxmlformats.org/officeDocument/2006/relationships/hyperlink" Target="https://drive.google.com/file/d/1gOejDSsLOS0mqTXNc5ZvZMOC3fq8XoRU/view?usp=drive_link" TargetMode="External"/><Relationship Id="rId6" Type="http://schemas.openxmlformats.org/officeDocument/2006/relationships/hyperlink" Target="https://docs.google.com/spreadsheets/d/12fgckcSJuok35hdkW0V1UYPanC4TSKZhJkpbbzv6br8/edit?gid=444740533" TargetMode="External"/><Relationship Id="rId7" Type="http://schemas.openxmlformats.org/officeDocument/2006/relationships/hyperlink" Target="https://drive.google.com/drive/folders/17e0XA0UAdXGXFTVY5xrSajHnQDpPw09f?usp=drive_link" TargetMode="External"/><Relationship Id="rId8" Type="http://schemas.openxmlformats.org/officeDocument/2006/relationships/hyperlink" Target="https://drive.google.com/file/d/1uHFZ1pyHOjbXJV1kg5HGlDGGXGM4ou7L/view?usp=sharing" TargetMode="External"/><Relationship Id="rId11" Type="http://schemas.openxmlformats.org/officeDocument/2006/relationships/hyperlink" Target="https://system.blackwell.university/academic/faculty" TargetMode="External"/><Relationship Id="rId10" Type="http://schemas.openxmlformats.org/officeDocument/2006/relationships/hyperlink" Target="https://docs.google.com/spreadsheets/d/1r4sGVRx6eC42jqV-NEHeph0F46P-gXyCmodQgblBlxw/edit?usp=sharing" TargetMode="External"/><Relationship Id="rId13" Type="http://schemas.openxmlformats.org/officeDocument/2006/relationships/hyperlink" Target="https://docs.google.com/document/d/1ZNoM3Axx9AGv8Mab3N0cNxaGwCUcmTT-tSdI1w5UzS0/edit?tab=t.0" TargetMode="External"/><Relationship Id="rId12" Type="http://schemas.openxmlformats.org/officeDocument/2006/relationships/hyperlink" Target="https://docs.google.com/spreadsheets/d/12OUytVzW2CsVOArHJ_CcyIh-6GTQ0pGWKmhzwiRztKA/edit?gid=0" TargetMode="External"/><Relationship Id="rId15" Type="http://schemas.openxmlformats.org/officeDocument/2006/relationships/hyperlink" Target="https://drive.google.com/file/d/1OzdTHi67o3-wiPKnj8A-T9wBsMfHHdAI/view?usp=sharing" TargetMode="External"/><Relationship Id="rId14" Type="http://schemas.openxmlformats.org/officeDocument/2006/relationships/hyperlink" Target="https://support.blackwell.university/Uptime/" TargetMode="External"/><Relationship Id="rId17" Type="http://schemas.openxmlformats.org/officeDocument/2006/relationships/hyperlink" Target="https://docs.google.com/spreadsheets/d/1noIQac5-ZQsyvs240BgNQheblFmVacs_GvI7JSYZx-Y/edit?usp=sharing" TargetMode="External"/><Relationship Id="rId16" Type="http://schemas.openxmlformats.org/officeDocument/2006/relationships/hyperlink" Target="https://support.blackwell.university/tech-infrastructure-reports/" TargetMode="External"/><Relationship Id="rId19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18" Type="http://schemas.openxmlformats.org/officeDocument/2006/relationships/hyperlink" Target="https://docs.google.com/spreadsheets/d/1NkAg3Wcfjy_Xh-a_HX3ZU-o6zPkR8xVd_NBs9wMlegE/edit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4.xml"/><Relationship Id="rId42" Type="http://schemas.openxmlformats.org/officeDocument/2006/relationships/table" Target="../tables/table16.xml"/><Relationship Id="rId41" Type="http://schemas.openxmlformats.org/officeDocument/2006/relationships/table" Target="../tables/table15.xml"/><Relationship Id="rId44" Type="http://schemas.openxmlformats.org/officeDocument/2006/relationships/table" Target="../tables/table18.xml"/><Relationship Id="rId43" Type="http://schemas.openxmlformats.org/officeDocument/2006/relationships/table" Target="../tables/table17.xml"/><Relationship Id="rId46" Type="http://schemas.openxmlformats.org/officeDocument/2006/relationships/table" Target="../tables/table20.xml"/><Relationship Id="rId45" Type="http://schemas.openxmlformats.org/officeDocument/2006/relationships/table" Target="../tables/table19.xml"/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48" Type="http://schemas.openxmlformats.org/officeDocument/2006/relationships/table" Target="../tables/table22.xml"/><Relationship Id="rId47" Type="http://schemas.openxmlformats.org/officeDocument/2006/relationships/table" Target="../tables/table21.xml"/><Relationship Id="rId28" Type="http://schemas.openxmlformats.org/officeDocument/2006/relationships/table" Target="../tables/table2.xml"/><Relationship Id="rId49" Type="http://schemas.openxmlformats.org/officeDocument/2006/relationships/table" Target="../tables/table23.xml"/><Relationship Id="rId29" Type="http://schemas.openxmlformats.org/officeDocument/2006/relationships/table" Target="../tables/table3.xml"/><Relationship Id="rId51" Type="http://schemas.openxmlformats.org/officeDocument/2006/relationships/table" Target="../tables/table25.xml"/><Relationship Id="rId50" Type="http://schemas.openxmlformats.org/officeDocument/2006/relationships/table" Target="../tables/table24.xml"/><Relationship Id="rId31" Type="http://schemas.openxmlformats.org/officeDocument/2006/relationships/table" Target="../tables/table5.xml"/><Relationship Id="rId30" Type="http://schemas.openxmlformats.org/officeDocument/2006/relationships/table" Target="../tables/table4.xml"/><Relationship Id="rId33" Type="http://schemas.openxmlformats.org/officeDocument/2006/relationships/table" Target="../tables/table7.xml"/><Relationship Id="rId32" Type="http://schemas.openxmlformats.org/officeDocument/2006/relationships/table" Target="../tables/table6.xml"/><Relationship Id="rId35" Type="http://schemas.openxmlformats.org/officeDocument/2006/relationships/table" Target="../tables/table9.xml"/><Relationship Id="rId34" Type="http://schemas.openxmlformats.org/officeDocument/2006/relationships/table" Target="../tables/table8.xml"/><Relationship Id="rId37" Type="http://schemas.openxmlformats.org/officeDocument/2006/relationships/table" Target="../tables/table11.xml"/><Relationship Id="rId36" Type="http://schemas.openxmlformats.org/officeDocument/2006/relationships/table" Target="../tables/table10.xml"/><Relationship Id="rId39" Type="http://schemas.openxmlformats.org/officeDocument/2006/relationships/table" Target="../tables/table13.xml"/><Relationship Id="rId38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0.xml"/><Relationship Id="rId42" Type="http://schemas.openxmlformats.org/officeDocument/2006/relationships/table" Target="../tables/table42.xml"/><Relationship Id="rId41" Type="http://schemas.openxmlformats.org/officeDocument/2006/relationships/table" Target="../tables/table41.xml"/><Relationship Id="rId44" Type="http://schemas.openxmlformats.org/officeDocument/2006/relationships/table" Target="../tables/table44.xml"/><Relationship Id="rId43" Type="http://schemas.openxmlformats.org/officeDocument/2006/relationships/table" Target="../tables/table43.xml"/><Relationship Id="rId46" Type="http://schemas.openxmlformats.org/officeDocument/2006/relationships/table" Target="../tables/table46.xml"/><Relationship Id="rId45" Type="http://schemas.openxmlformats.org/officeDocument/2006/relationships/table" Target="../tables/table45.xml"/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26" Type="http://schemas.openxmlformats.org/officeDocument/2006/relationships/table" Target="../tables/table26.xml"/><Relationship Id="rId47" Type="http://schemas.openxmlformats.org/officeDocument/2006/relationships/table" Target="../tables/table47.xml"/><Relationship Id="rId28" Type="http://schemas.openxmlformats.org/officeDocument/2006/relationships/table" Target="../tables/table28.xml"/><Relationship Id="rId27" Type="http://schemas.openxmlformats.org/officeDocument/2006/relationships/table" Target="../tables/table27.xml"/><Relationship Id="rId29" Type="http://schemas.openxmlformats.org/officeDocument/2006/relationships/table" Target="../tables/table29.xml"/><Relationship Id="rId31" Type="http://schemas.openxmlformats.org/officeDocument/2006/relationships/table" Target="../tables/table31.xml"/><Relationship Id="rId30" Type="http://schemas.openxmlformats.org/officeDocument/2006/relationships/table" Target="../tables/table30.xml"/><Relationship Id="rId33" Type="http://schemas.openxmlformats.org/officeDocument/2006/relationships/table" Target="../tables/table33.xml"/><Relationship Id="rId32" Type="http://schemas.openxmlformats.org/officeDocument/2006/relationships/table" Target="../tables/table32.xml"/><Relationship Id="rId35" Type="http://schemas.openxmlformats.org/officeDocument/2006/relationships/table" Target="../tables/table35.xml"/><Relationship Id="rId34" Type="http://schemas.openxmlformats.org/officeDocument/2006/relationships/table" Target="../tables/table34.xml"/><Relationship Id="rId37" Type="http://schemas.openxmlformats.org/officeDocument/2006/relationships/table" Target="../tables/table37.xml"/><Relationship Id="rId36" Type="http://schemas.openxmlformats.org/officeDocument/2006/relationships/table" Target="../tables/table36.xml"/><Relationship Id="rId39" Type="http://schemas.openxmlformats.org/officeDocument/2006/relationships/table" Target="../tables/table39.xml"/><Relationship Id="rId38" Type="http://schemas.openxmlformats.org/officeDocument/2006/relationships/table" Target="../tables/table3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8.xml"/><Relationship Id="rId11" Type="http://schemas.openxmlformats.org/officeDocument/2006/relationships/table" Target="../tables/table50.xml"/><Relationship Id="rId10" Type="http://schemas.openxmlformats.org/officeDocument/2006/relationships/table" Target="../tables/table49.xml"/><Relationship Id="rId13" Type="http://schemas.openxmlformats.org/officeDocument/2006/relationships/table" Target="../tables/table52.xml"/><Relationship Id="rId12" Type="http://schemas.openxmlformats.org/officeDocument/2006/relationships/table" Target="../tables/table51.xml"/><Relationship Id="rId15" Type="http://schemas.openxmlformats.org/officeDocument/2006/relationships/table" Target="../tables/table54.xml"/><Relationship Id="rId14" Type="http://schemas.openxmlformats.org/officeDocument/2006/relationships/table" Target="../tables/table5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ZNoM3Axx9AGv8Mab3N0cNxaGwCUcmTT-tSdI1w5UzS0/edit?tab=t.0" TargetMode="External"/><Relationship Id="rId22" Type="http://schemas.openxmlformats.org/officeDocument/2006/relationships/hyperlink" Target="https://drive.google.com/file/d/1t71b9el61Kxyp4wDXL145_oatTpaobR1/view?usp=drive_link" TargetMode="External"/><Relationship Id="rId21" Type="http://schemas.openxmlformats.org/officeDocument/2006/relationships/hyperlink" Target="https://drive.google.com/file/d/1t71b9el61Kxyp4wDXL145_oatTpaobR1/view?usp=drive_link" TargetMode="External"/><Relationship Id="rId24" Type="http://schemas.openxmlformats.org/officeDocument/2006/relationships/hyperlink" Target="https://drive.google.com/file/d/1HfgXLErCgFJ4D13yD5A7S39RyYCq6XwG/view" TargetMode="External"/><Relationship Id="rId23" Type="http://schemas.openxmlformats.org/officeDocument/2006/relationships/hyperlink" Target="https://drive.google.com/drive/folders/1cOiYn--bXwmGfobuRvGKZDOK4NHBgw_Q" TargetMode="External"/><Relationship Id="rId1" Type="http://schemas.openxmlformats.org/officeDocument/2006/relationships/hyperlink" Target="https://docs.google.com/document/d/1HL9N9rp6EijeIvFgF57IoiR6TF07flKVFJWAXZG11xU/edit?usp=sharing" TargetMode="External"/><Relationship Id="rId2" Type="http://schemas.openxmlformats.org/officeDocument/2006/relationships/hyperlink" Target="https://drive.google.com/file/d/1TaOjj8z6pU5BWb8QdiAwMovzUxnsNLG1/view" TargetMode="External"/><Relationship Id="rId3" Type="http://schemas.openxmlformats.org/officeDocument/2006/relationships/hyperlink" Target="https://drive.google.com/file/d/1HfgXLErCgFJ4D13yD5A7S39RyYCq6XwG/view" TargetMode="External"/><Relationship Id="rId4" Type="http://schemas.openxmlformats.org/officeDocument/2006/relationships/hyperlink" Target="https://drive.google.com/file/d/1HfgXLErCgFJ4D13yD5A7S39RyYCq6XwG/view" TargetMode="External"/><Relationship Id="rId9" Type="http://schemas.openxmlformats.org/officeDocument/2006/relationships/hyperlink" Target="https://drive.google.com/file/d/1TaOjj8z6pU5BWb8QdiAwMovzUxnsNLG1/view" TargetMode="External"/><Relationship Id="rId26" Type="http://schemas.openxmlformats.org/officeDocument/2006/relationships/hyperlink" Target="https://es.linkedin.com/posts/blackwell-global-university_blackwell-global-university-presente-activity-7469856343982649344-1zXq" TargetMode="External"/><Relationship Id="rId25" Type="http://schemas.openxmlformats.org/officeDocument/2006/relationships/hyperlink" Target="https://drive.google.com/drive/folders/1AzQukxNvHgZCHyvgwvDQqAZgzSD4lyJm" TargetMode="External"/><Relationship Id="rId28" Type="http://schemas.openxmlformats.org/officeDocument/2006/relationships/hyperlink" Target="https://drive.google.com/drive/folders/1G-n3CW466rprug8EBOfzQkkpgGefSpD_" TargetMode="External"/><Relationship Id="rId27" Type="http://schemas.openxmlformats.org/officeDocument/2006/relationships/hyperlink" Target="https://docs.google.com/spreadsheets/d/1DO8PuDas2OPdtnPAeii96zm_4h5Y1EgL4TFvRVCwZPo/edit?gid=72753164" TargetMode="External"/><Relationship Id="rId5" Type="http://schemas.openxmlformats.org/officeDocument/2006/relationships/hyperlink" Target="https://drive.google.com/drive/folders/1WWZ8fDuxG4yB8EUJVpmZreE0MkAuSO8r" TargetMode="External"/><Relationship Id="rId6" Type="http://schemas.openxmlformats.org/officeDocument/2006/relationships/hyperlink" Target="https://drive.google.com/drive/folders/1P6ThyUcEddyFJMy0TnOrsTJt2IIkDyyC?usp=sharing" TargetMode="External"/><Relationship Id="rId29" Type="http://schemas.openxmlformats.org/officeDocument/2006/relationships/hyperlink" Target="https://drive.google.com/drive/folders/1AzQukxNvHgZCHyvgwvDQqAZgzSD4lyJm" TargetMode="External"/><Relationship Id="rId7" Type="http://schemas.openxmlformats.org/officeDocument/2006/relationships/hyperlink" Target="https://baltic.bitrix24.es/crm/deal/kanban/category/147/" TargetMode="External"/><Relationship Id="rId8" Type="http://schemas.openxmlformats.org/officeDocument/2006/relationships/hyperlink" Target="https://drive.google.com/file/d/1HfgXLErCgFJ4D13yD5A7S39RyYCq6XwG/view" TargetMode="External"/><Relationship Id="rId31" Type="http://schemas.openxmlformats.org/officeDocument/2006/relationships/hyperlink" Target="https://docs.google.com/spreadsheets/d/1D3xU22BJJ-9-PmpUytOa9QaXz1SqTwSGFxc5l8YFYfw/edit?gid=1396614406" TargetMode="External"/><Relationship Id="rId30" Type="http://schemas.openxmlformats.org/officeDocument/2006/relationships/hyperlink" Target="https://drive.google.com/drive/folders/1dDxXl5z6c_u4U72VuLNAvdQ3BVD2IzkQ" TargetMode="External"/><Relationship Id="rId11" Type="http://schemas.openxmlformats.org/officeDocument/2006/relationships/hyperlink" Target="https://drive.google.com/file/d/1NqUBmNbwlBAMFtR0P-68VgM0P9jm-18X/view?usp=drive_link" TargetMode="External"/><Relationship Id="rId33" Type="http://schemas.openxmlformats.org/officeDocument/2006/relationships/drawing" Target="../drawings/drawing6.xml"/><Relationship Id="rId10" Type="http://schemas.openxmlformats.org/officeDocument/2006/relationships/hyperlink" Target="https://drive.google.com/drive/folders/1BaWU_BLrz3jIfpMCWrigumdT-FFmIIZ8?usp=sharing" TargetMode="External"/><Relationship Id="rId32" Type="http://schemas.openxmlformats.org/officeDocument/2006/relationships/hyperlink" Target="https://docs.google.com/spreadsheets/d/1D3xU22BJJ-9-PmpUytOa9QaXz1SqTwSGFxc5l8YFYfw/edit?gid=1396614406" TargetMode="External"/><Relationship Id="rId13" Type="http://schemas.openxmlformats.org/officeDocument/2006/relationships/hyperlink" Target="https://drive.google.com/drive/folders/1VDHWG8zI2mqrU85ymPKW3d3f11ypFNGd?usp=sharing" TargetMode="External"/><Relationship Id="rId12" Type="http://schemas.openxmlformats.org/officeDocument/2006/relationships/hyperlink" Target="https://drive.google.com/drive/folders/1DPpLml7oibxmxT7af00o0PVekETg5eMx" TargetMode="External"/><Relationship Id="rId15" Type="http://schemas.openxmlformats.org/officeDocument/2006/relationships/hyperlink" Target="https://docs.google.com/document/d/1IIzQs3T6x611PlgoinwHJVuxGyM-EouhW6S8bwIjWL4/edit?tab=t.0" TargetMode="External"/><Relationship Id="rId14" Type="http://schemas.openxmlformats.org/officeDocument/2006/relationships/hyperlink" Target="https://drive.google.com/drive/folders/1c_ykUkTOLp5rY75muL8uCM0_noiDgaT3" TargetMode="External"/><Relationship Id="rId17" Type="http://schemas.openxmlformats.org/officeDocument/2006/relationships/hyperlink" Target="https://drive.google.com/file/d/1t8YRW31TqtJgsM9pWwFNMmYRr42ztWac/view?usp=drive_link" TargetMode="External"/><Relationship Id="rId16" Type="http://schemas.openxmlformats.org/officeDocument/2006/relationships/hyperlink" Target="https://docs.google.com/document/d/13RpInNSRL2_O7TEaVmcM1ecFiun8GYyrJgECM5he-PI/edit?tab=t.0" TargetMode="External"/><Relationship Id="rId19" Type="http://schemas.openxmlformats.org/officeDocument/2006/relationships/hyperlink" Target="https://docs.google.com/document/d/1ZNoM3Axx9AGv8Mab3N0cNxaGwCUcmTT-tSdI1w5UzS0/edit?tab=t.0" TargetMode="External"/><Relationship Id="rId18" Type="http://schemas.openxmlformats.org/officeDocument/2006/relationships/hyperlink" Target="https://drive.google.com/file/d/1ITGSlMiGGQBOA17i6ufJEVsXanoPhGVU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tGZFgS3cpZpTypJhkyKqEra6EAt3DYmKwry69qmAi8/edit?usp=sharing" TargetMode="External"/><Relationship Id="rId2" Type="http://schemas.openxmlformats.org/officeDocument/2006/relationships/hyperlink" Target="https://drive.google.com/file/d/1GnoRcOLPpzFJQM9fsoaPTe5lvppPQ4Y3/view?usp=sharing" TargetMode="External"/><Relationship Id="rId3" Type="http://schemas.openxmlformats.org/officeDocument/2006/relationships/hyperlink" Target="https://docs.google.com/document/d/1ZtGZFgS3cpZpTypJhkyKqEra6EAt3DYmKwry69qmAi8/edit?usp=sharing" TargetMode="External"/><Relationship Id="rId4" Type="http://schemas.openxmlformats.org/officeDocument/2006/relationships/hyperlink" Target="https://adsmanager.facebook.com/adsmanager/manage/campaigns?global_scope_id=860895891106674&amp;business_id=860895891106674&amp;act=3505591113011816&amp;redirect_session_id=c7a41922-4fb0-4d71-9f9c-b313637ed5fc" TargetMode="External"/><Relationship Id="rId9" Type="http://schemas.openxmlformats.org/officeDocument/2006/relationships/hyperlink" Target="https://drive.google.com/file/d/1GPRcaZWfSK1Bpc4-R_pDhqmbxgTY9euQ/view?usp=drive_link" TargetMode="External"/><Relationship Id="rId5" Type="http://schemas.openxmlformats.org/officeDocument/2006/relationships/hyperlink" Target="https://docs.google.com/spreadsheets/d/1abe2ikktYTR-hJbkBpxuC5UmHqTWJvpWAnpsAOcOiV0/edit?usp=sharing" TargetMode="External"/><Relationship Id="rId6" Type="http://schemas.openxmlformats.org/officeDocument/2006/relationships/hyperlink" Target="https://adsmanager.facebook.com/adsmanager/manage/campaigns?global_scope_id=860895891106674&amp;business_id=860895891106674&amp;act=3505591113011816&amp;redirect_session_id=c7a41922-4fb0-4d71-9f9c-b313637ed5fc" TargetMode="External"/><Relationship Id="rId7" Type="http://schemas.openxmlformats.org/officeDocument/2006/relationships/hyperlink" Target="https://docs.google.com/spreadsheets/d/1abe2ikktYTR-hJbkBpxuC5UmHqTWJvpWAnpsAOcOiV0/edit?usp=sharing" TargetMode="External"/><Relationship Id="rId8" Type="http://schemas.openxmlformats.org/officeDocument/2006/relationships/hyperlink" Target="https://drive.google.com/file/d/1GPRcaZWfSK1Bpc4-R_pDhqmbxgTY9euQ/view?usp=drive_link" TargetMode="External"/><Relationship Id="rId11" Type="http://schemas.openxmlformats.org/officeDocument/2006/relationships/hyperlink" Target="https://docs.google.com/document/d/1aBR7ldYpulRs7XhVqGswRm3MEF1tLrntJ-Oad22f0jQ/edit?tab=t.0" TargetMode="External"/><Relationship Id="rId10" Type="http://schemas.openxmlformats.org/officeDocument/2006/relationships/hyperlink" Target="https://drive.google.com/file/d/12rHbUY88ASwUHZ04y-tSMvZBmGbnQfmT/view?usp=drive_link" TargetMode="External"/><Relationship Id="rId13" Type="http://schemas.openxmlformats.org/officeDocument/2006/relationships/hyperlink" Target="https://docs.google.com/document/d/1xlx7eAOhb5d_vDsxtYcrB-U1_zD-3EsSN7hyDPiz6IU/edit?usp=sharing" TargetMode="External"/><Relationship Id="rId12" Type="http://schemas.openxmlformats.org/officeDocument/2006/relationships/hyperlink" Target="https://docs.google.com/document/d/1pNDF13wTTJ60QIJlGzJ9KaEj2SJPXOZQxNV9dQ4WQJA/edit?tab=t.0" TargetMode="External"/><Relationship Id="rId15" Type="http://schemas.openxmlformats.org/officeDocument/2006/relationships/hyperlink" Target="https://blackwell.university/es/no-discriminacion/" TargetMode="External"/><Relationship Id="rId14" Type="http://schemas.openxmlformats.org/officeDocument/2006/relationships/hyperlink" Target="https://docs.google.com/document/d/18WwUiMlW6QUZc1IkUTUz7UeUHqBOS_lyY5j6uBzAsqU/edit?tab=t.0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docs.google.com/document/d/1cgbJXTcmah8mgD7AvqfLfvkcBS4V4Ic41V-sfUzl1J4/edit?tab=t.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27.5"/>
    <col customWidth="1" min="4" max="4" width="23.38"/>
    <col customWidth="1" min="5" max="5" width="12.75"/>
    <col hidden="1" min="6" max="6" width="12.63"/>
    <col customWidth="1" hidden="1" min="7" max="7" width="13.63"/>
    <col customWidth="1" min="8" max="8" width="8.5"/>
    <col customWidth="1" min="9" max="9" width="14.63"/>
    <col customWidth="1" hidden="1" min="10" max="10" width="15.38"/>
    <col customWidth="1" min="11" max="12" width="17.38"/>
    <col customWidth="1" min="13" max="13" width="19.13"/>
    <col customWidth="1" min="14" max="14" width="42.63"/>
    <col customWidth="1" min="15" max="15" width="18.13"/>
    <col customWidth="1" min="16" max="16" width="4.75"/>
    <col customWidth="1" min="17" max="17" width="14.63"/>
    <col customWidth="1" min="18" max="18" width="16.88"/>
    <col customWidth="1" min="19" max="19" width="14.75"/>
    <col customWidth="1" min="22" max="22" width="10.75"/>
  </cols>
  <sheetData>
    <row r="1" ht="43.5" customHeight="1">
      <c r="A1" s="1" t="s">
        <v>0</v>
      </c>
    </row>
    <row r="2" ht="43.5" customHeight="1">
      <c r="A2" s="3" t="s">
        <v>1</v>
      </c>
      <c r="B2" s="3" t="s">
        <v>3</v>
      </c>
      <c r="C2" s="3" t="s">
        <v>4</v>
      </c>
      <c r="D2" s="3" t="s">
        <v>6</v>
      </c>
      <c r="E2" s="3" t="s">
        <v>7</v>
      </c>
      <c r="F2" s="3" t="s">
        <v>10</v>
      </c>
      <c r="G2" s="3" t="s">
        <v>11</v>
      </c>
      <c r="H2" s="3" t="s">
        <v>13</v>
      </c>
      <c r="I2" s="3" t="s">
        <v>15</v>
      </c>
      <c r="J2" s="3" t="s">
        <v>17</v>
      </c>
      <c r="K2" s="3" t="s">
        <v>19</v>
      </c>
      <c r="L2" s="3" t="s">
        <v>21</v>
      </c>
      <c r="M2" s="14" t="s">
        <v>22</v>
      </c>
      <c r="N2" s="17" t="s">
        <v>24</v>
      </c>
      <c r="O2" s="3" t="s">
        <v>26</v>
      </c>
      <c r="P2" s="1"/>
      <c r="Q2" s="1" t="s">
        <v>33</v>
      </c>
    </row>
    <row r="3">
      <c r="A3" s="20" t="s">
        <v>35</v>
      </c>
      <c r="B3" s="22" t="s">
        <v>41</v>
      </c>
      <c r="C3" s="25" t="s">
        <v>38</v>
      </c>
      <c r="D3" s="25" t="s">
        <v>42</v>
      </c>
      <c r="E3" s="25" t="s">
        <v>44</v>
      </c>
      <c r="F3" s="25" t="s">
        <v>53</v>
      </c>
      <c r="G3" s="25">
        <v>8.0</v>
      </c>
      <c r="H3" s="31">
        <v>11.0</v>
      </c>
      <c r="I3" s="25">
        <v>13.0</v>
      </c>
      <c r="J3" s="25">
        <v>15.0</v>
      </c>
      <c r="K3" s="25" t="s">
        <v>64</v>
      </c>
      <c r="L3" s="25" t="s">
        <v>68</v>
      </c>
      <c r="M3" s="36" t="s">
        <v>72</v>
      </c>
      <c r="N3" s="43" t="s">
        <v>74</v>
      </c>
      <c r="O3" s="54" t="s">
        <v>118</v>
      </c>
      <c r="P3" s="54" t="b">
        <v>1</v>
      </c>
      <c r="Q3" s="54"/>
    </row>
    <row r="4">
      <c r="A4" s="59"/>
      <c r="B4" s="59"/>
      <c r="C4" s="25" t="s">
        <v>65</v>
      </c>
      <c r="D4" s="25" t="s">
        <v>69</v>
      </c>
      <c r="E4" s="25" t="s">
        <v>8</v>
      </c>
      <c r="F4" s="25" t="s">
        <v>135</v>
      </c>
      <c r="G4" s="64">
        <v>0.55</v>
      </c>
      <c r="H4" s="65">
        <v>0.59</v>
      </c>
      <c r="I4" s="64">
        <v>0.7</v>
      </c>
      <c r="J4" s="64">
        <v>0.8</v>
      </c>
      <c r="K4" s="25" t="s">
        <v>146</v>
      </c>
      <c r="L4" s="25" t="s">
        <v>68</v>
      </c>
      <c r="M4" s="67">
        <f>11/11</f>
        <v>1</v>
      </c>
      <c r="N4" s="68" t="s">
        <v>155</v>
      </c>
      <c r="O4" s="54" t="s">
        <v>118</v>
      </c>
      <c r="P4" s="54" t="b">
        <v>1</v>
      </c>
      <c r="Q4" s="54"/>
    </row>
    <row r="5">
      <c r="A5" s="59"/>
      <c r="B5" s="59"/>
      <c r="C5" s="25" t="s">
        <v>93</v>
      </c>
      <c r="D5" s="25" t="s">
        <v>95</v>
      </c>
      <c r="E5" s="25" t="s">
        <v>96</v>
      </c>
      <c r="F5" s="25" t="s">
        <v>163</v>
      </c>
      <c r="G5" s="25">
        <v>15.0</v>
      </c>
      <c r="H5" s="31">
        <v>20.0</v>
      </c>
      <c r="I5" s="25">
        <v>23.0</v>
      </c>
      <c r="J5" s="25">
        <v>25.0</v>
      </c>
      <c r="K5" s="25" t="s">
        <v>170</v>
      </c>
      <c r="L5" s="25" t="s">
        <v>171</v>
      </c>
      <c r="M5" s="36">
        <v>21.0</v>
      </c>
      <c r="N5" s="43" t="s">
        <v>174</v>
      </c>
      <c r="O5" s="54" t="s">
        <v>118</v>
      </c>
      <c r="P5" s="54" t="b">
        <v>1</v>
      </c>
      <c r="Q5" s="54"/>
      <c r="R5" s="82" t="s">
        <v>26</v>
      </c>
      <c r="S5" s="82" t="s">
        <v>179</v>
      </c>
      <c r="T5" s="82" t="s">
        <v>181</v>
      </c>
      <c r="U5" s="84" t="s">
        <v>183</v>
      </c>
    </row>
    <row r="6">
      <c r="A6" s="85"/>
      <c r="B6" s="85"/>
      <c r="C6" s="25" t="s">
        <v>111</v>
      </c>
      <c r="D6" s="25" t="s">
        <v>114</v>
      </c>
      <c r="E6" s="25" t="s">
        <v>115</v>
      </c>
      <c r="F6" s="25" t="s">
        <v>187</v>
      </c>
      <c r="G6" s="86">
        <v>46237.0</v>
      </c>
      <c r="H6" s="31" t="s">
        <v>116</v>
      </c>
      <c r="I6" s="86">
        <v>46057.0</v>
      </c>
      <c r="J6" s="86">
        <v>46116.0</v>
      </c>
      <c r="K6" s="25" t="s">
        <v>191</v>
      </c>
      <c r="L6" s="25" t="s">
        <v>68</v>
      </c>
      <c r="M6" s="90" t="s">
        <v>194</v>
      </c>
      <c r="N6" s="43" t="s">
        <v>196</v>
      </c>
      <c r="O6" s="54" t="s">
        <v>118</v>
      </c>
      <c r="P6" s="54" t="b">
        <v>1</v>
      </c>
      <c r="Q6" s="54"/>
      <c r="R6" s="96" t="s">
        <v>118</v>
      </c>
      <c r="S6" s="98" t="s">
        <v>203</v>
      </c>
      <c r="T6" s="98" t="s">
        <v>205</v>
      </c>
      <c r="U6" s="98">
        <f>COUNTIF($O$4:$O31,"Cumplido")</f>
        <v>16</v>
      </c>
    </row>
    <row r="7">
      <c r="A7" s="104" t="s">
        <v>208</v>
      </c>
      <c r="B7" s="22" t="s">
        <v>210</v>
      </c>
      <c r="C7" s="25" t="s">
        <v>129</v>
      </c>
      <c r="D7" s="25" t="s">
        <v>130</v>
      </c>
      <c r="E7" s="25" t="s">
        <v>131</v>
      </c>
      <c r="F7" s="25" t="s">
        <v>187</v>
      </c>
      <c r="G7" s="86">
        <v>46268.0</v>
      </c>
      <c r="H7" s="109">
        <v>46026.0</v>
      </c>
      <c r="I7" s="86">
        <v>46085.0</v>
      </c>
      <c r="J7" s="86">
        <v>46146.0</v>
      </c>
      <c r="K7" s="25" t="s">
        <v>218</v>
      </c>
      <c r="L7" s="25" t="s">
        <v>68</v>
      </c>
      <c r="M7" s="36" t="s">
        <v>220</v>
      </c>
      <c r="N7" s="68" t="s">
        <v>221</v>
      </c>
      <c r="O7" s="54" t="s">
        <v>118</v>
      </c>
      <c r="P7" s="54" t="b">
        <v>1</v>
      </c>
      <c r="Q7" s="54"/>
      <c r="R7" s="116" t="s">
        <v>224</v>
      </c>
      <c r="S7" s="117" t="s">
        <v>225</v>
      </c>
      <c r="T7" s="98" t="s">
        <v>228</v>
      </c>
      <c r="U7" s="98">
        <f>COUNTIF($O$4:$O31,"Parcialmente cumplido")</f>
        <v>5</v>
      </c>
    </row>
    <row r="8">
      <c r="A8" s="59"/>
      <c r="B8" s="59"/>
      <c r="C8" s="25" t="s">
        <v>151</v>
      </c>
      <c r="D8" s="25" t="s">
        <v>153</v>
      </c>
      <c r="E8" s="25" t="s">
        <v>132</v>
      </c>
      <c r="F8" s="25" t="s">
        <v>187</v>
      </c>
      <c r="G8" s="64">
        <v>0.6</v>
      </c>
      <c r="H8" s="65">
        <v>0.7</v>
      </c>
      <c r="I8" s="64">
        <v>0.85</v>
      </c>
      <c r="J8" s="64">
        <v>0.9</v>
      </c>
      <c r="K8" s="25" t="s">
        <v>242</v>
      </c>
      <c r="L8" s="25" t="s">
        <v>68</v>
      </c>
      <c r="M8" s="119">
        <v>1.0</v>
      </c>
      <c r="N8" s="121" t="s">
        <v>245</v>
      </c>
      <c r="O8" s="54" t="s">
        <v>118</v>
      </c>
      <c r="P8" s="54" t="b">
        <v>1</v>
      </c>
      <c r="Q8" s="54"/>
      <c r="R8" s="123" t="s">
        <v>249</v>
      </c>
      <c r="S8" s="117" t="s">
        <v>252</v>
      </c>
      <c r="T8" s="98" t="s">
        <v>253</v>
      </c>
      <c r="U8" s="98">
        <f>COUNTIF($O$4:$O31,"No cumplido")</f>
        <v>5</v>
      </c>
    </row>
    <row r="9">
      <c r="A9" s="59"/>
      <c r="B9" s="59"/>
      <c r="C9" s="25" t="s">
        <v>172</v>
      </c>
      <c r="D9" s="25" t="s">
        <v>173</v>
      </c>
      <c r="E9" s="25" t="s">
        <v>39</v>
      </c>
      <c r="F9" s="25" t="s">
        <v>187</v>
      </c>
      <c r="G9" s="64">
        <v>0.8</v>
      </c>
      <c r="H9" s="65">
        <v>0.85</v>
      </c>
      <c r="I9" s="64">
        <v>0.88</v>
      </c>
      <c r="J9" s="64">
        <v>0.9</v>
      </c>
      <c r="K9" s="25" t="s">
        <v>262</v>
      </c>
      <c r="L9" s="25" t="s">
        <v>68</v>
      </c>
      <c r="M9" s="130">
        <f>42/45</f>
        <v>0.9333333333</v>
      </c>
      <c r="N9" s="43" t="s">
        <v>265</v>
      </c>
      <c r="O9" s="54" t="s">
        <v>118</v>
      </c>
      <c r="P9" s="54" t="b">
        <v>1</v>
      </c>
      <c r="Q9" s="54"/>
      <c r="R9" s="134" t="s">
        <v>274</v>
      </c>
      <c r="S9" s="98" t="s">
        <v>276</v>
      </c>
      <c r="T9" s="98" t="s">
        <v>277</v>
      </c>
      <c r="U9" s="98">
        <f>COUNTIF($O$4:$O31,"Sin datos")</f>
        <v>1</v>
      </c>
    </row>
    <row r="10">
      <c r="A10" s="85"/>
      <c r="B10" s="85"/>
      <c r="C10" s="25" t="s">
        <v>165</v>
      </c>
      <c r="D10" s="25" t="s">
        <v>167</v>
      </c>
      <c r="E10" s="25" t="s">
        <v>185</v>
      </c>
      <c r="F10" s="64">
        <v>0.9</v>
      </c>
      <c r="G10" s="64">
        <v>0.92</v>
      </c>
      <c r="H10" s="65">
        <v>0.95</v>
      </c>
      <c r="I10" s="64">
        <v>0.98</v>
      </c>
      <c r="J10" s="64">
        <v>1.0</v>
      </c>
      <c r="K10" s="25" t="s">
        <v>284</v>
      </c>
      <c r="L10" s="25" t="s">
        <v>68</v>
      </c>
      <c r="M10" s="119">
        <v>1.0</v>
      </c>
      <c r="N10" s="137" t="s">
        <v>288</v>
      </c>
      <c r="O10" s="54" t="s">
        <v>118</v>
      </c>
      <c r="P10" s="54" t="b">
        <v>1</v>
      </c>
      <c r="Q10" s="54"/>
      <c r="R10" s="139" t="s">
        <v>295</v>
      </c>
      <c r="S10" s="98" t="s">
        <v>297</v>
      </c>
      <c r="T10" s="98" t="s">
        <v>298</v>
      </c>
      <c r="U10" s="98">
        <f>COUNTIF($O$4:$O31,"No aplicable / cohorte no madura")</f>
        <v>0</v>
      </c>
    </row>
    <row r="11" ht="42.0" customHeight="1">
      <c r="A11" s="104" t="s">
        <v>303</v>
      </c>
      <c r="B11" s="22" t="s">
        <v>305</v>
      </c>
      <c r="C11" s="25" t="s">
        <v>199</v>
      </c>
      <c r="D11" s="25" t="s">
        <v>200</v>
      </c>
      <c r="E11" s="25" t="s">
        <v>201</v>
      </c>
      <c r="F11" s="25" t="s">
        <v>187</v>
      </c>
      <c r="G11" s="64">
        <v>0.78</v>
      </c>
      <c r="H11" s="65">
        <v>0.82</v>
      </c>
      <c r="I11" s="64">
        <v>0.85</v>
      </c>
      <c r="J11" s="64">
        <v>0.88</v>
      </c>
      <c r="K11" s="25" t="s">
        <v>308</v>
      </c>
      <c r="L11" s="25" t="s">
        <v>309</v>
      </c>
      <c r="M11" s="141">
        <v>0.92</v>
      </c>
      <c r="N11" s="137" t="s">
        <v>310</v>
      </c>
      <c r="O11" s="54" t="s">
        <v>118</v>
      </c>
      <c r="P11" s="54" t="b">
        <v>1</v>
      </c>
      <c r="Q11" s="54"/>
    </row>
    <row r="12">
      <c r="A12" s="59"/>
      <c r="B12" s="59"/>
      <c r="C12" s="25" t="s">
        <v>222</v>
      </c>
      <c r="D12" s="25" t="s">
        <v>223</v>
      </c>
      <c r="E12" s="25" t="s">
        <v>156</v>
      </c>
      <c r="F12" s="25" t="s">
        <v>187</v>
      </c>
      <c r="G12" s="64">
        <v>0.65</v>
      </c>
      <c r="H12" s="65">
        <v>0.8</v>
      </c>
      <c r="I12" s="64">
        <v>0.9</v>
      </c>
      <c r="J12" s="64">
        <v>0.95</v>
      </c>
      <c r="K12" s="25" t="s">
        <v>318</v>
      </c>
      <c r="L12" s="25" t="s">
        <v>309</v>
      </c>
      <c r="M12" s="141">
        <v>0.9333</v>
      </c>
      <c r="N12" s="147" t="s">
        <v>319</v>
      </c>
      <c r="O12" s="54" t="s">
        <v>118</v>
      </c>
      <c r="P12" s="54" t="b">
        <v>1</v>
      </c>
      <c r="Q12" s="54"/>
      <c r="R12" s="149" t="s">
        <v>331</v>
      </c>
      <c r="S12" s="151"/>
    </row>
    <row r="13">
      <c r="A13" s="59"/>
      <c r="B13" s="59"/>
      <c r="C13" s="25" t="s">
        <v>243</v>
      </c>
      <c r="D13" s="25" t="s">
        <v>244</v>
      </c>
      <c r="E13" s="154" t="s">
        <v>47</v>
      </c>
      <c r="F13" s="25" t="s">
        <v>187</v>
      </c>
      <c r="G13" s="64">
        <v>0.6</v>
      </c>
      <c r="H13" s="65">
        <v>0.7</v>
      </c>
      <c r="I13" s="64">
        <v>0.78</v>
      </c>
      <c r="J13" s="64">
        <v>0.82</v>
      </c>
      <c r="K13" s="25" t="s">
        <v>343</v>
      </c>
      <c r="L13" s="25" t="s">
        <v>344</v>
      </c>
      <c r="M13" s="36"/>
      <c r="N13" s="158" t="s">
        <v>346</v>
      </c>
      <c r="O13" s="54" t="s">
        <v>249</v>
      </c>
      <c r="P13" s="54" t="b">
        <v>0</v>
      </c>
      <c r="Q13" s="54"/>
      <c r="R13" s="149" t="s">
        <v>351</v>
      </c>
      <c r="S13" s="151"/>
    </row>
    <row r="14">
      <c r="A14" s="85"/>
      <c r="B14" s="85"/>
      <c r="C14" s="25" t="s">
        <v>260</v>
      </c>
      <c r="D14" s="25" t="s">
        <v>263</v>
      </c>
      <c r="E14" s="25" t="s">
        <v>54</v>
      </c>
      <c r="F14" s="25" t="s">
        <v>187</v>
      </c>
      <c r="G14" s="25" t="s">
        <v>357</v>
      </c>
      <c r="H14" s="31" t="s">
        <v>264</v>
      </c>
      <c r="I14" s="25" t="s">
        <v>361</v>
      </c>
      <c r="J14" s="25" t="s">
        <v>362</v>
      </c>
      <c r="K14" s="25" t="s">
        <v>343</v>
      </c>
      <c r="L14" s="25" t="s">
        <v>344</v>
      </c>
      <c r="M14" s="36"/>
      <c r="N14" s="158" t="s">
        <v>346</v>
      </c>
      <c r="O14" s="54" t="s">
        <v>249</v>
      </c>
      <c r="P14" s="54" t="b">
        <v>0</v>
      </c>
      <c r="Q14" s="54"/>
      <c r="R14" s="149" t="s">
        <v>368</v>
      </c>
      <c r="S14" s="151"/>
    </row>
    <row r="15">
      <c r="A15" s="104" t="s">
        <v>370</v>
      </c>
      <c r="B15" s="22" t="s">
        <v>371</v>
      </c>
      <c r="C15" s="25" t="s">
        <v>280</v>
      </c>
      <c r="D15" s="25" t="s">
        <v>282</v>
      </c>
      <c r="E15" s="25" t="s">
        <v>63</v>
      </c>
      <c r="F15" s="25" t="s">
        <v>376</v>
      </c>
      <c r="G15" s="25" t="s">
        <v>377</v>
      </c>
      <c r="H15" s="31" t="s">
        <v>283</v>
      </c>
      <c r="I15" s="25" t="s">
        <v>71</v>
      </c>
      <c r="J15" s="25" t="s">
        <v>71</v>
      </c>
      <c r="K15" s="25" t="s">
        <v>379</v>
      </c>
      <c r="L15" s="25" t="s">
        <v>380</v>
      </c>
      <c r="M15" s="36" t="s">
        <v>381</v>
      </c>
      <c r="N15" s="173" t="s">
        <v>382</v>
      </c>
      <c r="O15" s="54" t="s">
        <v>118</v>
      </c>
      <c r="P15" s="54" t="b">
        <v>1</v>
      </c>
      <c r="Q15" s="54"/>
      <c r="R15" s="149" t="s">
        <v>387</v>
      </c>
      <c r="S15" s="151"/>
    </row>
    <row r="16">
      <c r="A16" s="59"/>
      <c r="B16" s="59"/>
      <c r="C16" s="25" t="s">
        <v>186</v>
      </c>
      <c r="D16" s="25" t="s">
        <v>188</v>
      </c>
      <c r="E16" s="25" t="s">
        <v>296</v>
      </c>
      <c r="F16" s="25" t="s">
        <v>388</v>
      </c>
      <c r="G16" s="25">
        <v>1.0</v>
      </c>
      <c r="H16" s="31">
        <v>0.0</v>
      </c>
      <c r="I16" s="25">
        <v>0.0</v>
      </c>
      <c r="J16" s="25">
        <v>0.0</v>
      </c>
      <c r="K16" s="25" t="s">
        <v>390</v>
      </c>
      <c r="L16" s="25" t="s">
        <v>380</v>
      </c>
      <c r="M16" s="36">
        <v>0.0</v>
      </c>
      <c r="N16" s="43" t="s">
        <v>391</v>
      </c>
      <c r="O16" s="54" t="s">
        <v>118</v>
      </c>
      <c r="P16" s="54" t="b">
        <v>1</v>
      </c>
      <c r="Q16" s="54"/>
      <c r="R16" s="149" t="s">
        <v>394</v>
      </c>
      <c r="S16" s="151"/>
    </row>
    <row r="17" ht="39.75" customHeight="1">
      <c r="A17" s="59"/>
      <c r="B17" s="59"/>
      <c r="C17" s="25" t="s">
        <v>101</v>
      </c>
      <c r="D17" s="25" t="s">
        <v>103</v>
      </c>
      <c r="E17" s="25" t="s">
        <v>107</v>
      </c>
      <c r="F17" s="25" t="s">
        <v>187</v>
      </c>
      <c r="G17" s="25">
        <v>5.0</v>
      </c>
      <c r="H17" s="31">
        <v>10.0</v>
      </c>
      <c r="I17" s="25">
        <v>18.0</v>
      </c>
      <c r="J17" s="25">
        <v>25.0</v>
      </c>
      <c r="K17" s="25" t="s">
        <v>399</v>
      </c>
      <c r="L17" s="25" t="s">
        <v>380</v>
      </c>
      <c r="M17" s="36">
        <v>15.0</v>
      </c>
      <c r="N17" s="178" t="s">
        <v>400</v>
      </c>
      <c r="O17" s="54" t="s">
        <v>118</v>
      </c>
      <c r="P17" s="54" t="b">
        <v>1</v>
      </c>
      <c r="Q17" s="54"/>
      <c r="R17" s="149" t="s">
        <v>401</v>
      </c>
      <c r="S17" s="151"/>
    </row>
    <row r="18" ht="37.5" customHeight="1">
      <c r="A18" s="85"/>
      <c r="B18" s="85"/>
      <c r="C18" s="25" t="s">
        <v>190</v>
      </c>
      <c r="D18" s="25" t="s">
        <v>192</v>
      </c>
      <c r="E18" s="25" t="s">
        <v>329</v>
      </c>
      <c r="F18" s="25" t="s">
        <v>187</v>
      </c>
      <c r="G18" s="86">
        <v>46176.0</v>
      </c>
      <c r="H18" s="31" t="s">
        <v>116</v>
      </c>
      <c r="I18" s="86">
        <v>46057.0</v>
      </c>
      <c r="J18" s="86">
        <v>46116.0</v>
      </c>
      <c r="K18" s="25" t="s">
        <v>404</v>
      </c>
      <c r="L18" s="25" t="s">
        <v>380</v>
      </c>
      <c r="M18" s="36">
        <v>3.97</v>
      </c>
      <c r="N18" s="173" t="s">
        <v>406</v>
      </c>
      <c r="O18" s="54" t="s">
        <v>407</v>
      </c>
      <c r="P18" s="54" t="b">
        <v>1</v>
      </c>
      <c r="Q18" s="54"/>
      <c r="R18" s="149" t="s">
        <v>409</v>
      </c>
      <c r="S18" s="151"/>
    </row>
    <row r="19">
      <c r="A19" s="104" t="s">
        <v>410</v>
      </c>
      <c r="B19" s="22" t="s">
        <v>412</v>
      </c>
      <c r="C19" s="25" t="s">
        <v>257</v>
      </c>
      <c r="D19" s="25" t="s">
        <v>345</v>
      </c>
      <c r="E19" s="25" t="s">
        <v>347</v>
      </c>
      <c r="F19" s="25" t="s">
        <v>414</v>
      </c>
      <c r="G19" s="25">
        <v>7.0</v>
      </c>
      <c r="H19" s="31">
        <v>12.0</v>
      </c>
      <c r="I19" s="25">
        <v>18.0</v>
      </c>
      <c r="J19" s="25">
        <v>25.0</v>
      </c>
      <c r="K19" s="25" t="s">
        <v>416</v>
      </c>
      <c r="L19" s="25" t="s">
        <v>68</v>
      </c>
      <c r="M19" s="36">
        <v>14.0</v>
      </c>
      <c r="N19" s="43" t="s">
        <v>418</v>
      </c>
      <c r="O19" s="54" t="s">
        <v>118</v>
      </c>
      <c r="P19" s="54" t="b">
        <v>1</v>
      </c>
      <c r="Q19" s="54"/>
    </row>
    <row r="20">
      <c r="A20" s="59"/>
      <c r="B20" s="59"/>
      <c r="C20" s="25" t="s">
        <v>246</v>
      </c>
      <c r="D20" s="25" t="s">
        <v>247</v>
      </c>
      <c r="E20" s="25" t="s">
        <v>354</v>
      </c>
      <c r="F20" s="25" t="s">
        <v>187</v>
      </c>
      <c r="G20" s="64">
        <v>0.4</v>
      </c>
      <c r="H20" s="65">
        <v>0.55</v>
      </c>
      <c r="I20" s="64">
        <v>0.7</v>
      </c>
      <c r="J20" s="64">
        <v>0.8</v>
      </c>
      <c r="K20" s="25" t="s">
        <v>421</v>
      </c>
      <c r="L20" s="25" t="s">
        <v>171</v>
      </c>
      <c r="M20" s="184">
        <v>0.4653</v>
      </c>
      <c r="N20" s="43" t="s">
        <v>422</v>
      </c>
      <c r="O20" s="54" t="s">
        <v>407</v>
      </c>
      <c r="P20" s="54" t="b">
        <v>1</v>
      </c>
      <c r="Q20" s="54"/>
    </row>
    <row r="21">
      <c r="A21" s="59"/>
      <c r="B21" s="59"/>
      <c r="C21" s="25" t="s">
        <v>211</v>
      </c>
      <c r="D21" s="25" t="s">
        <v>213</v>
      </c>
      <c r="E21" s="25" t="s">
        <v>378</v>
      </c>
      <c r="F21" s="25" t="s">
        <v>426</v>
      </c>
      <c r="G21" s="64">
        <v>0.5</v>
      </c>
      <c r="H21" s="65">
        <v>0.65</v>
      </c>
      <c r="I21" s="64">
        <v>0.75</v>
      </c>
      <c r="J21" s="64">
        <v>0.8</v>
      </c>
      <c r="K21" s="25" t="s">
        <v>428</v>
      </c>
      <c r="L21" s="25" t="s">
        <v>344</v>
      </c>
      <c r="M21" s="186">
        <v>0.27</v>
      </c>
      <c r="N21" s="137" t="s">
        <v>431</v>
      </c>
      <c r="O21" s="54" t="s">
        <v>407</v>
      </c>
      <c r="P21" s="54" t="b">
        <v>1</v>
      </c>
      <c r="Q21" s="54"/>
    </row>
    <row r="22">
      <c r="A22" s="85"/>
      <c r="B22" s="85"/>
      <c r="C22" s="25" t="s">
        <v>202</v>
      </c>
      <c r="D22" s="25" t="s">
        <v>204</v>
      </c>
      <c r="E22" s="25" t="s">
        <v>324</v>
      </c>
      <c r="F22" s="25" t="s">
        <v>187</v>
      </c>
      <c r="G22" s="64">
        <v>0.05</v>
      </c>
      <c r="H22" s="65">
        <v>0.1</v>
      </c>
      <c r="I22" s="64">
        <v>0.15</v>
      </c>
      <c r="J22" s="64">
        <v>0.2</v>
      </c>
      <c r="K22" s="25" t="s">
        <v>434</v>
      </c>
      <c r="L22" s="25" t="s">
        <v>171</v>
      </c>
      <c r="M22" s="184">
        <v>0.0181</v>
      </c>
      <c r="N22" s="43" t="s">
        <v>436</v>
      </c>
      <c r="O22" s="54" t="s">
        <v>407</v>
      </c>
      <c r="P22" s="54" t="b">
        <v>1</v>
      </c>
      <c r="Q22" s="54"/>
    </row>
    <row r="23">
      <c r="A23" s="104" t="s">
        <v>438</v>
      </c>
      <c r="B23" s="22" t="s">
        <v>440</v>
      </c>
      <c r="C23" s="25" t="s">
        <v>136</v>
      </c>
      <c r="D23" s="25" t="s">
        <v>138</v>
      </c>
      <c r="E23" s="25" t="s">
        <v>121</v>
      </c>
      <c r="F23" s="25" t="s">
        <v>187</v>
      </c>
      <c r="G23" s="64">
        <v>0.8</v>
      </c>
      <c r="H23" s="65">
        <v>0.82</v>
      </c>
      <c r="I23" s="64">
        <v>0.86</v>
      </c>
      <c r="J23" s="64">
        <v>0.9</v>
      </c>
      <c r="K23" s="25" t="s">
        <v>441</v>
      </c>
      <c r="L23" s="25" t="s">
        <v>344</v>
      </c>
      <c r="M23" s="36">
        <v>0.0</v>
      </c>
      <c r="N23" s="158"/>
      <c r="O23" s="54" t="s">
        <v>249</v>
      </c>
      <c r="P23" s="54" t="b">
        <v>1</v>
      </c>
      <c r="Q23" s="54"/>
    </row>
    <row r="24">
      <c r="A24" s="59"/>
      <c r="B24" s="59"/>
      <c r="C24" s="25" t="s">
        <v>207</v>
      </c>
      <c r="D24" s="25" t="s">
        <v>209</v>
      </c>
      <c r="E24" s="25" t="s">
        <v>396</v>
      </c>
      <c r="F24" s="25" t="s">
        <v>187</v>
      </c>
      <c r="G24" s="64">
        <v>0.7</v>
      </c>
      <c r="H24" s="65">
        <v>0.85</v>
      </c>
      <c r="I24" s="64">
        <v>0.95</v>
      </c>
      <c r="J24" s="64">
        <v>1.0</v>
      </c>
      <c r="K24" s="25" t="s">
        <v>242</v>
      </c>
      <c r="L24" s="25" t="s">
        <v>344</v>
      </c>
      <c r="M24" s="36">
        <v>0.0</v>
      </c>
      <c r="N24" s="158"/>
      <c r="O24" s="54" t="s">
        <v>249</v>
      </c>
      <c r="P24" s="54" t="b">
        <v>1</v>
      </c>
      <c r="Q24" s="54"/>
    </row>
    <row r="25">
      <c r="A25" s="59"/>
      <c r="B25" s="59"/>
      <c r="C25" s="25" t="s">
        <v>216</v>
      </c>
      <c r="D25" s="25" t="s">
        <v>219</v>
      </c>
      <c r="E25" s="25" t="s">
        <v>99</v>
      </c>
      <c r="F25" s="25" t="s">
        <v>187</v>
      </c>
      <c r="G25" s="64">
        <v>0.15</v>
      </c>
      <c r="H25" s="65">
        <v>0.2</v>
      </c>
      <c r="I25" s="64">
        <v>0.3</v>
      </c>
      <c r="J25" s="64">
        <v>0.4</v>
      </c>
      <c r="K25" s="25" t="s">
        <v>445</v>
      </c>
      <c r="L25" s="25" t="s">
        <v>344</v>
      </c>
      <c r="M25" s="141">
        <v>0.04</v>
      </c>
      <c r="N25" s="193" t="s">
        <v>447</v>
      </c>
      <c r="O25" s="54" t="s">
        <v>407</v>
      </c>
      <c r="P25" s="54" t="b">
        <v>1</v>
      </c>
      <c r="Q25" s="54"/>
    </row>
    <row r="26">
      <c r="A26" s="85"/>
      <c r="B26" s="85"/>
      <c r="C26" s="25" t="s">
        <v>227</v>
      </c>
      <c r="D26" s="25" t="s">
        <v>229</v>
      </c>
      <c r="E26" s="25" t="s">
        <v>99</v>
      </c>
      <c r="F26" s="25" t="s">
        <v>187</v>
      </c>
      <c r="G26" s="64">
        <v>0.75</v>
      </c>
      <c r="H26" s="65">
        <v>0.85</v>
      </c>
      <c r="I26" s="64">
        <v>0.9</v>
      </c>
      <c r="J26" s="64">
        <v>0.95</v>
      </c>
      <c r="K26" s="25" t="s">
        <v>450</v>
      </c>
      <c r="L26" s="25" t="s">
        <v>344</v>
      </c>
      <c r="M26" s="36"/>
      <c r="N26" s="158" t="s">
        <v>451</v>
      </c>
      <c r="O26" s="54" t="s">
        <v>274</v>
      </c>
      <c r="P26" s="54" t="b">
        <v>1</v>
      </c>
      <c r="Q26" s="54"/>
    </row>
    <row r="27" ht="42.0" customHeight="1">
      <c r="A27" s="104" t="s">
        <v>452</v>
      </c>
      <c r="B27" s="22" t="s">
        <v>456</v>
      </c>
      <c r="C27" s="25" t="s">
        <v>408</v>
      </c>
      <c r="D27" s="25" t="s">
        <v>411</v>
      </c>
      <c r="E27" s="25" t="s">
        <v>73</v>
      </c>
      <c r="F27" s="25" t="s">
        <v>457</v>
      </c>
      <c r="G27" s="25" t="s">
        <v>458</v>
      </c>
      <c r="H27" s="31" t="s">
        <v>413</v>
      </c>
      <c r="I27" s="25" t="s">
        <v>80</v>
      </c>
      <c r="J27" s="25" t="s">
        <v>459</v>
      </c>
      <c r="K27" s="25" t="s">
        <v>460</v>
      </c>
      <c r="L27" s="25" t="s">
        <v>309</v>
      </c>
      <c r="M27" s="36" t="s">
        <v>462</v>
      </c>
      <c r="N27" s="137" t="s">
        <v>464</v>
      </c>
      <c r="O27" s="54" t="s">
        <v>118</v>
      </c>
      <c r="P27" s="54" t="b">
        <v>1</v>
      </c>
      <c r="Q27" s="54"/>
    </row>
    <row r="28" ht="43.5" customHeight="1">
      <c r="A28" s="59"/>
      <c r="B28" s="59"/>
      <c r="C28" s="25" t="s">
        <v>238</v>
      </c>
      <c r="D28" s="25" t="s">
        <v>241</v>
      </c>
      <c r="E28" s="25" t="s">
        <v>348</v>
      </c>
      <c r="F28" s="64">
        <v>0.35</v>
      </c>
      <c r="G28" s="64">
        <v>0.38</v>
      </c>
      <c r="H28" s="65">
        <v>0.4</v>
      </c>
      <c r="I28" s="64">
        <v>0.42</v>
      </c>
      <c r="J28" s="64">
        <v>0.45</v>
      </c>
      <c r="K28" s="25" t="s">
        <v>466</v>
      </c>
      <c r="L28" s="25" t="s">
        <v>309</v>
      </c>
      <c r="M28" s="141">
        <v>1.0</v>
      </c>
      <c r="N28" s="137" t="s">
        <v>467</v>
      </c>
      <c r="O28" s="54" t="s">
        <v>118</v>
      </c>
      <c r="P28" s="54" t="b">
        <v>1</v>
      </c>
      <c r="Q28" s="54"/>
    </row>
    <row r="29">
      <c r="A29" s="59"/>
      <c r="B29" s="59"/>
      <c r="C29" s="25" t="s">
        <v>231</v>
      </c>
      <c r="D29" s="25" t="s">
        <v>233</v>
      </c>
      <c r="E29" s="25" t="s">
        <v>150</v>
      </c>
      <c r="F29" s="25" t="s">
        <v>187</v>
      </c>
      <c r="G29" s="64">
        <v>0.78</v>
      </c>
      <c r="H29" s="65">
        <v>0.82</v>
      </c>
      <c r="I29" s="64">
        <v>0.86</v>
      </c>
      <c r="J29" s="64">
        <v>0.9</v>
      </c>
      <c r="K29" s="25" t="s">
        <v>470</v>
      </c>
      <c r="L29" s="25" t="s">
        <v>344</v>
      </c>
      <c r="M29" s="141">
        <v>0.91</v>
      </c>
      <c r="N29" s="210" t="s">
        <v>471</v>
      </c>
      <c r="O29" s="54" t="s">
        <v>118</v>
      </c>
      <c r="P29" s="54" t="b">
        <v>1</v>
      </c>
      <c r="Q29" s="54"/>
    </row>
    <row r="30">
      <c r="A30" s="85"/>
      <c r="B30" s="85"/>
      <c r="C30" s="25" t="s">
        <v>427</v>
      </c>
      <c r="D30" s="25" t="s">
        <v>429</v>
      </c>
      <c r="E30" s="25" t="s">
        <v>430</v>
      </c>
      <c r="F30" s="25" t="s">
        <v>474</v>
      </c>
      <c r="G30" s="25" t="s">
        <v>475</v>
      </c>
      <c r="H30" s="31" t="s">
        <v>432</v>
      </c>
      <c r="I30" s="25" t="s">
        <v>94</v>
      </c>
      <c r="J30" s="25" t="s">
        <v>476</v>
      </c>
      <c r="K30" s="25" t="s">
        <v>477</v>
      </c>
      <c r="L30" s="25" t="s">
        <v>309</v>
      </c>
      <c r="M30" s="36">
        <v>0.0</v>
      </c>
      <c r="N30" s="158" t="s">
        <v>479</v>
      </c>
      <c r="O30" s="54" t="s">
        <v>249</v>
      </c>
      <c r="P30" s="54" t="b">
        <v>1</v>
      </c>
      <c r="Q30" s="54"/>
    </row>
    <row r="31">
      <c r="B31" s="198" t="s">
        <v>480</v>
      </c>
      <c r="C31" s="7">
        <v>28.0</v>
      </c>
      <c r="L31" s="10"/>
      <c r="M31" s="214"/>
      <c r="N31" s="215"/>
    </row>
  </sheetData>
  <mergeCells count="15">
    <mergeCell ref="A15:A18"/>
    <mergeCell ref="B15:B18"/>
    <mergeCell ref="A19:A22"/>
    <mergeCell ref="B19:B22"/>
    <mergeCell ref="A23:A26"/>
    <mergeCell ref="B23:B26"/>
    <mergeCell ref="A27:A30"/>
    <mergeCell ref="B27:B30"/>
    <mergeCell ref="A1:Q1"/>
    <mergeCell ref="A3:A6"/>
    <mergeCell ref="B3:B6"/>
    <mergeCell ref="A7:A10"/>
    <mergeCell ref="B7:B10"/>
    <mergeCell ref="A11:A14"/>
    <mergeCell ref="B11:B14"/>
  </mergeCells>
  <dataValidations>
    <dataValidation type="list" allowBlank="1" showErrorMessage="1" sqref="O3:O30">
      <formula1>"Cumplido,Parcialmente Cumplido,No cumplido,Sin datos,No aplicable / cohorte no madura"</formula1>
    </dataValidation>
  </dataValidations>
  <hyperlinks>
    <hyperlink r:id="rId4" ref="N3"/>
    <hyperlink r:id="rId5" ref="N4"/>
    <hyperlink r:id="rId6" location="gid=444740533" ref="N5"/>
    <hyperlink r:id="rId7" ref="N6"/>
    <hyperlink r:id="rId8" ref="N7"/>
    <hyperlink r:id="rId9" ref="N8"/>
    <hyperlink r:id="rId10" ref="N9"/>
    <hyperlink r:id="rId11" ref="N10"/>
    <hyperlink r:id="rId12" location="gid=0" ref="N11"/>
    <hyperlink r:id="rId13" ref="N12"/>
    <hyperlink r:id="rId14" ref="N15"/>
    <hyperlink r:id="rId15" ref="N16"/>
    <hyperlink r:id="rId16" ref="N18"/>
    <hyperlink r:id="rId17" ref="N19"/>
    <hyperlink r:id="rId18" ref="N20"/>
    <hyperlink r:id="rId19" ref="N21"/>
    <hyperlink r:id="rId20" ref="N22"/>
    <hyperlink r:id="rId21" location="gid=0" ref="N27"/>
    <hyperlink r:id="rId22" location="gid=0" ref="N28"/>
    <hyperlink r:id="rId23" ref="N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legacyDrawing r:id="rId25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5.88"/>
    <col customWidth="1" min="3" max="3" width="13.88"/>
    <col customWidth="1" min="4" max="4" width="15.75"/>
    <col customWidth="1" min="7" max="7" width="21.5"/>
    <col customWidth="1" min="8" max="8" width="25.5"/>
  </cols>
  <sheetData>
    <row r="1">
      <c r="B1" s="7" t="s">
        <v>9</v>
      </c>
      <c r="G1" s="2"/>
      <c r="H1" s="9" t="s">
        <v>14</v>
      </c>
      <c r="J1" s="2"/>
      <c r="L1" s="2"/>
      <c r="M1" s="2"/>
      <c r="N1" s="2"/>
      <c r="O1" s="2"/>
      <c r="P1" s="2"/>
    </row>
    <row r="2">
      <c r="B2" s="3" t="s">
        <v>20</v>
      </c>
      <c r="C2" s="3" t="s">
        <v>6</v>
      </c>
      <c r="D2" s="3" t="s">
        <v>7</v>
      </c>
      <c r="E2" s="15" t="s">
        <v>23</v>
      </c>
      <c r="G2" s="3" t="s">
        <v>7</v>
      </c>
      <c r="H2" s="15" t="s">
        <v>25</v>
      </c>
      <c r="I2" s="18" t="s">
        <v>28</v>
      </c>
      <c r="J2" s="15" t="s">
        <v>23</v>
      </c>
      <c r="L2" s="19" t="s">
        <v>32</v>
      </c>
      <c r="M2" s="19" t="s">
        <v>34</v>
      </c>
      <c r="N2" s="19" t="s">
        <v>36</v>
      </c>
      <c r="O2" s="19" t="s">
        <v>37</v>
      </c>
    </row>
    <row r="3">
      <c r="B3" s="21" t="s">
        <v>38</v>
      </c>
      <c r="C3" s="21" t="s">
        <v>42</v>
      </c>
      <c r="D3" s="21" t="s">
        <v>44</v>
      </c>
      <c r="E3" s="21">
        <v>11.0</v>
      </c>
      <c r="F3" s="24"/>
      <c r="G3" s="26" t="s">
        <v>8</v>
      </c>
      <c r="H3" s="28" t="s">
        <v>52</v>
      </c>
      <c r="I3" s="29" t="s">
        <v>16</v>
      </c>
      <c r="J3" s="26" t="s">
        <v>18</v>
      </c>
      <c r="L3" s="30" t="s">
        <v>55</v>
      </c>
      <c r="M3" s="32" t="s">
        <v>58</v>
      </c>
      <c r="N3" s="33" t="s">
        <v>61</v>
      </c>
      <c r="O3" s="34" t="s">
        <v>62</v>
      </c>
    </row>
    <row r="4">
      <c r="B4" s="35" t="s">
        <v>65</v>
      </c>
      <c r="C4" s="35" t="s">
        <v>69</v>
      </c>
      <c r="D4" s="35" t="s">
        <v>8</v>
      </c>
      <c r="E4" s="37">
        <v>0.59</v>
      </c>
      <c r="F4" s="24"/>
      <c r="G4" s="38" t="s">
        <v>75</v>
      </c>
      <c r="H4" s="39" t="s">
        <v>79</v>
      </c>
      <c r="I4" s="41" t="s">
        <v>82</v>
      </c>
      <c r="J4" s="38" t="s">
        <v>83</v>
      </c>
      <c r="L4" s="30" t="s">
        <v>84</v>
      </c>
      <c r="M4" s="32" t="s">
        <v>86</v>
      </c>
      <c r="N4" s="33" t="s">
        <v>61</v>
      </c>
      <c r="O4" s="34" t="s">
        <v>89</v>
      </c>
    </row>
    <row r="5">
      <c r="B5" s="42" t="s">
        <v>93</v>
      </c>
      <c r="C5" s="42" t="s">
        <v>95</v>
      </c>
      <c r="D5" s="42" t="s">
        <v>96</v>
      </c>
      <c r="E5" s="42">
        <v>20.0</v>
      </c>
      <c r="F5" s="24"/>
      <c r="G5" s="44" t="s">
        <v>98</v>
      </c>
      <c r="H5" s="45" t="s">
        <v>100</v>
      </c>
      <c r="I5" s="46" t="s">
        <v>102</v>
      </c>
      <c r="J5" s="44" t="s">
        <v>104</v>
      </c>
      <c r="L5" s="30" t="s">
        <v>105</v>
      </c>
      <c r="M5" s="32" t="s">
        <v>108</v>
      </c>
      <c r="N5" s="33" t="s">
        <v>61</v>
      </c>
      <c r="O5" s="34" t="s">
        <v>110</v>
      </c>
    </row>
    <row r="6">
      <c r="B6" s="48" t="s">
        <v>111</v>
      </c>
      <c r="C6" s="48" t="s">
        <v>114</v>
      </c>
      <c r="D6" s="48" t="s">
        <v>115</v>
      </c>
      <c r="E6" s="52" t="s">
        <v>116</v>
      </c>
      <c r="F6" s="24"/>
      <c r="G6" s="55" t="s">
        <v>115</v>
      </c>
      <c r="H6" s="56" t="s">
        <v>119</v>
      </c>
      <c r="I6" s="57" t="s">
        <v>120</v>
      </c>
      <c r="J6" s="58" t="s">
        <v>122</v>
      </c>
      <c r="L6" s="30" t="s">
        <v>124</v>
      </c>
      <c r="M6" s="32" t="s">
        <v>126</v>
      </c>
      <c r="N6" s="33" t="s">
        <v>61</v>
      </c>
      <c r="O6" s="34" t="s">
        <v>128</v>
      </c>
    </row>
    <row r="7">
      <c r="A7" s="2"/>
      <c r="B7" s="60" t="s">
        <v>129</v>
      </c>
      <c r="C7" s="60" t="s">
        <v>130</v>
      </c>
      <c r="D7" s="60" t="s">
        <v>131</v>
      </c>
      <c r="E7" s="61">
        <v>46026.0</v>
      </c>
      <c r="F7" s="6"/>
      <c r="G7" s="62" t="s">
        <v>27</v>
      </c>
      <c r="H7" s="63" t="s">
        <v>137</v>
      </c>
      <c r="I7" s="62" t="s">
        <v>30</v>
      </c>
      <c r="J7" s="62" t="s">
        <v>31</v>
      </c>
      <c r="K7" s="2"/>
      <c r="L7" s="30" t="s">
        <v>141</v>
      </c>
      <c r="M7" s="32" t="s">
        <v>143</v>
      </c>
      <c r="N7" s="33" t="s">
        <v>61</v>
      </c>
      <c r="O7" s="34" t="s">
        <v>145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B8" s="25" t="s">
        <v>151</v>
      </c>
      <c r="C8" s="25" t="s">
        <v>153</v>
      </c>
      <c r="D8" s="25" t="s">
        <v>132</v>
      </c>
      <c r="E8" s="64">
        <v>0.7</v>
      </c>
      <c r="F8" s="24"/>
      <c r="G8" s="69" t="s">
        <v>44</v>
      </c>
      <c r="H8" s="70" t="s">
        <v>159</v>
      </c>
      <c r="I8" s="71" t="s">
        <v>161</v>
      </c>
      <c r="J8" s="69" t="s">
        <v>162</v>
      </c>
      <c r="L8" s="30" t="s">
        <v>164</v>
      </c>
      <c r="M8" s="32" t="s">
        <v>166</v>
      </c>
      <c r="N8" s="33" t="s">
        <v>61</v>
      </c>
      <c r="O8" s="34" t="s">
        <v>169</v>
      </c>
    </row>
    <row r="9">
      <c r="B9" s="75" t="s">
        <v>172</v>
      </c>
      <c r="C9" s="75" t="s">
        <v>173</v>
      </c>
      <c r="D9" s="75" t="s">
        <v>39</v>
      </c>
      <c r="E9" s="78">
        <v>0.85</v>
      </c>
      <c r="F9" s="24"/>
      <c r="G9" s="79" t="s">
        <v>131</v>
      </c>
      <c r="H9" s="80" t="s">
        <v>176</v>
      </c>
      <c r="I9" s="81" t="s">
        <v>177</v>
      </c>
      <c r="J9" s="83" t="s">
        <v>122</v>
      </c>
      <c r="L9" s="30" t="s">
        <v>180</v>
      </c>
      <c r="M9" s="32" t="s">
        <v>182</v>
      </c>
      <c r="N9" s="33" t="s">
        <v>61</v>
      </c>
      <c r="O9" s="34" t="s">
        <v>184</v>
      </c>
    </row>
    <row r="10">
      <c r="B10" s="25" t="s">
        <v>165</v>
      </c>
      <c r="C10" s="25" t="s">
        <v>167</v>
      </c>
      <c r="D10" s="25" t="s">
        <v>185</v>
      </c>
      <c r="E10" s="64">
        <v>0.95</v>
      </c>
      <c r="F10" s="24"/>
      <c r="G10" s="6" t="s">
        <v>132</v>
      </c>
      <c r="H10" s="8" t="s">
        <v>189</v>
      </c>
      <c r="I10" s="24" t="s">
        <v>134</v>
      </c>
      <c r="J10" s="88" t="s">
        <v>51</v>
      </c>
      <c r="L10" s="30" t="s">
        <v>193</v>
      </c>
      <c r="M10" s="32" t="s">
        <v>195</v>
      </c>
      <c r="N10" s="33" t="s">
        <v>61</v>
      </c>
      <c r="O10" s="91" t="s">
        <v>197</v>
      </c>
    </row>
    <row r="11">
      <c r="B11" s="25" t="s">
        <v>199</v>
      </c>
      <c r="C11" s="25" t="s">
        <v>200</v>
      </c>
      <c r="D11" s="25" t="s">
        <v>201</v>
      </c>
      <c r="E11" s="64">
        <v>0.82</v>
      </c>
      <c r="F11" s="24"/>
      <c r="G11" s="99" t="s">
        <v>39</v>
      </c>
      <c r="H11" s="102" t="s">
        <v>206</v>
      </c>
      <c r="I11" s="103" t="s">
        <v>43</v>
      </c>
      <c r="J11" s="99" t="s">
        <v>45</v>
      </c>
      <c r="L11" s="30" t="s">
        <v>212</v>
      </c>
      <c r="M11" s="107" t="s">
        <v>214</v>
      </c>
      <c r="N11" s="33" t="s">
        <v>61</v>
      </c>
      <c r="O11" s="34" t="s">
        <v>217</v>
      </c>
    </row>
    <row r="12">
      <c r="B12" s="110" t="s">
        <v>222</v>
      </c>
      <c r="C12" s="110" t="s">
        <v>223</v>
      </c>
      <c r="D12" s="110" t="s">
        <v>156</v>
      </c>
      <c r="E12" s="114">
        <v>0.8</v>
      </c>
      <c r="F12" s="24"/>
      <c r="G12" s="6" t="s">
        <v>226</v>
      </c>
      <c r="H12" s="8" t="s">
        <v>230</v>
      </c>
      <c r="I12" s="24" t="s">
        <v>232</v>
      </c>
      <c r="J12" s="6" t="s">
        <v>234</v>
      </c>
      <c r="L12" s="30" t="s">
        <v>235</v>
      </c>
      <c r="M12" s="32" t="s">
        <v>236</v>
      </c>
      <c r="N12" s="30" t="s">
        <v>239</v>
      </c>
      <c r="O12" s="34" t="s">
        <v>240</v>
      </c>
    </row>
    <row r="13">
      <c r="B13" s="118" t="s">
        <v>243</v>
      </c>
      <c r="C13" s="118" t="s">
        <v>244</v>
      </c>
      <c r="D13" s="118" t="s">
        <v>47</v>
      </c>
      <c r="E13" s="120">
        <v>0.7</v>
      </c>
      <c r="F13" s="24"/>
      <c r="G13" s="6" t="s">
        <v>248</v>
      </c>
      <c r="H13" s="8" t="s">
        <v>250</v>
      </c>
      <c r="I13" s="24" t="s">
        <v>251</v>
      </c>
      <c r="J13" s="6" t="s">
        <v>254</v>
      </c>
      <c r="L13" s="30" t="s">
        <v>255</v>
      </c>
      <c r="M13" s="32" t="s">
        <v>256</v>
      </c>
      <c r="N13" s="30" t="s">
        <v>239</v>
      </c>
      <c r="O13" s="34" t="s">
        <v>258</v>
      </c>
    </row>
    <row r="14">
      <c r="B14" s="127" t="s">
        <v>260</v>
      </c>
      <c r="C14" s="127" t="s">
        <v>263</v>
      </c>
      <c r="D14" s="127" t="s">
        <v>54</v>
      </c>
      <c r="E14" s="127" t="s">
        <v>264</v>
      </c>
      <c r="F14" s="24"/>
      <c r="G14" s="6" t="s">
        <v>269</v>
      </c>
      <c r="H14" s="8" t="s">
        <v>270</v>
      </c>
      <c r="I14" s="24" t="s">
        <v>271</v>
      </c>
      <c r="J14" s="6" t="s">
        <v>160</v>
      </c>
      <c r="L14" s="30" t="s">
        <v>273</v>
      </c>
      <c r="M14" s="32" t="s">
        <v>275</v>
      </c>
      <c r="N14" s="30" t="s">
        <v>239</v>
      </c>
      <c r="O14" s="34" t="s">
        <v>278</v>
      </c>
    </row>
    <row r="15">
      <c r="B15" s="135" t="s">
        <v>280</v>
      </c>
      <c r="C15" s="135" t="s">
        <v>282</v>
      </c>
      <c r="D15" s="135" t="s">
        <v>63</v>
      </c>
      <c r="E15" s="135" t="s">
        <v>283</v>
      </c>
      <c r="F15" s="24"/>
      <c r="G15" s="6" t="s">
        <v>285</v>
      </c>
      <c r="H15" s="8" t="s">
        <v>286</v>
      </c>
      <c r="I15" s="24" t="s">
        <v>289</v>
      </c>
      <c r="J15" s="6" t="s">
        <v>290</v>
      </c>
      <c r="L15" s="30" t="s">
        <v>291</v>
      </c>
      <c r="M15" s="32" t="s">
        <v>292</v>
      </c>
      <c r="N15" s="30" t="s">
        <v>239</v>
      </c>
      <c r="O15" s="34" t="s">
        <v>293</v>
      </c>
    </row>
    <row r="16">
      <c r="B16" s="25" t="s">
        <v>186</v>
      </c>
      <c r="C16" s="25" t="s">
        <v>188</v>
      </c>
      <c r="D16" s="25" t="s">
        <v>296</v>
      </c>
      <c r="E16" s="25">
        <v>0.0</v>
      </c>
      <c r="F16" s="24"/>
      <c r="G16" s="6" t="s">
        <v>299</v>
      </c>
      <c r="H16" s="8" t="s">
        <v>300</v>
      </c>
      <c r="I16" s="24" t="s">
        <v>302</v>
      </c>
      <c r="J16" s="6" t="s">
        <v>83</v>
      </c>
      <c r="L16" s="30" t="s">
        <v>304</v>
      </c>
      <c r="M16" s="32" t="s">
        <v>306</v>
      </c>
      <c r="N16" s="30" t="s">
        <v>239</v>
      </c>
      <c r="O16" s="34" t="s">
        <v>278</v>
      </c>
    </row>
    <row r="17">
      <c r="B17" s="25" t="s">
        <v>101</v>
      </c>
      <c r="C17" s="25" t="s">
        <v>103</v>
      </c>
      <c r="D17" s="25" t="s">
        <v>107</v>
      </c>
      <c r="E17" s="25">
        <v>10.0</v>
      </c>
      <c r="F17" s="24"/>
      <c r="G17" s="142" t="s">
        <v>156</v>
      </c>
      <c r="H17" s="143" t="s">
        <v>312</v>
      </c>
      <c r="I17" s="144" t="s">
        <v>158</v>
      </c>
      <c r="J17" s="142" t="s">
        <v>160</v>
      </c>
      <c r="L17" s="30" t="s">
        <v>316</v>
      </c>
      <c r="M17" s="145" t="s">
        <v>317</v>
      </c>
      <c r="N17" s="30" t="s">
        <v>239</v>
      </c>
      <c r="O17" s="34" t="s">
        <v>325</v>
      </c>
    </row>
    <row r="18">
      <c r="B18" s="25" t="s">
        <v>190</v>
      </c>
      <c r="C18" s="25" t="s">
        <v>192</v>
      </c>
      <c r="D18" s="25" t="s">
        <v>329</v>
      </c>
      <c r="E18" s="25" t="s">
        <v>116</v>
      </c>
      <c r="F18" s="24"/>
      <c r="G18" s="150" t="s">
        <v>47</v>
      </c>
      <c r="H18" s="152" t="s">
        <v>334</v>
      </c>
      <c r="I18" s="153" t="s">
        <v>50</v>
      </c>
      <c r="J18" s="150" t="s">
        <v>51</v>
      </c>
      <c r="L18" s="155" t="s">
        <v>336</v>
      </c>
      <c r="M18" s="156" t="s">
        <v>337</v>
      </c>
      <c r="N18" s="155" t="s">
        <v>239</v>
      </c>
      <c r="O18" s="157" t="s">
        <v>341</v>
      </c>
    </row>
    <row r="19">
      <c r="B19" s="25" t="s">
        <v>257</v>
      </c>
      <c r="C19" s="25" t="s">
        <v>345</v>
      </c>
      <c r="D19" s="25" t="s">
        <v>347</v>
      </c>
      <c r="E19" s="25">
        <v>12.0</v>
      </c>
      <c r="F19" s="24"/>
      <c r="G19" s="160" t="s">
        <v>54</v>
      </c>
      <c r="H19" s="162" t="s">
        <v>352</v>
      </c>
      <c r="I19" s="163" t="s">
        <v>57</v>
      </c>
      <c r="J19" s="160" t="s">
        <v>59</v>
      </c>
      <c r="L19" s="165" t="s">
        <v>356</v>
      </c>
      <c r="M19" s="166" t="s">
        <v>360</v>
      </c>
      <c r="N19" s="165" t="s">
        <v>239</v>
      </c>
      <c r="O19" s="167" t="s">
        <v>365</v>
      </c>
    </row>
    <row r="20">
      <c r="B20" s="25" t="s">
        <v>246</v>
      </c>
      <c r="C20" s="25" t="s">
        <v>367</v>
      </c>
      <c r="D20" s="25" t="s">
        <v>354</v>
      </c>
      <c r="E20" s="64">
        <v>0.55</v>
      </c>
      <c r="F20" s="24"/>
      <c r="G20" s="6" t="s">
        <v>139</v>
      </c>
      <c r="H20" s="8" t="s">
        <v>369</v>
      </c>
      <c r="I20" s="24" t="s">
        <v>142</v>
      </c>
      <c r="J20" s="88" t="s">
        <v>122</v>
      </c>
      <c r="L20" s="30" t="s">
        <v>372</v>
      </c>
      <c r="M20" s="32" t="s">
        <v>373</v>
      </c>
      <c r="N20" s="30" t="s">
        <v>239</v>
      </c>
      <c r="O20" s="34" t="s">
        <v>374</v>
      </c>
    </row>
    <row r="21">
      <c r="B21" s="25" t="s">
        <v>211</v>
      </c>
      <c r="C21" s="25" t="s">
        <v>213</v>
      </c>
      <c r="D21" s="25" t="s">
        <v>378</v>
      </c>
      <c r="E21" s="64">
        <v>0.65</v>
      </c>
      <c r="F21" s="24"/>
      <c r="G21" s="170" t="s">
        <v>63</v>
      </c>
      <c r="H21" s="171" t="s">
        <v>383</v>
      </c>
      <c r="I21" s="172" t="s">
        <v>67</v>
      </c>
      <c r="J21" s="170" t="s">
        <v>70</v>
      </c>
      <c r="L21" s="30" t="s">
        <v>384</v>
      </c>
      <c r="M21" s="32" t="s">
        <v>385</v>
      </c>
      <c r="N21" s="30" t="s">
        <v>239</v>
      </c>
      <c r="O21" s="34" t="s">
        <v>386</v>
      </c>
    </row>
    <row r="22">
      <c r="B22" s="25" t="s">
        <v>202</v>
      </c>
      <c r="C22" s="25" t="s">
        <v>204</v>
      </c>
      <c r="D22" s="25" t="s">
        <v>324</v>
      </c>
      <c r="E22" s="64">
        <v>0.1</v>
      </c>
      <c r="F22" s="24"/>
      <c r="G22" s="6" t="s">
        <v>296</v>
      </c>
      <c r="H22" s="8" t="s">
        <v>389</v>
      </c>
      <c r="I22" s="24" t="s">
        <v>289</v>
      </c>
      <c r="J22" s="6" t="s">
        <v>311</v>
      </c>
      <c r="L22" s="30" t="s">
        <v>266</v>
      </c>
      <c r="M22" s="32" t="s">
        <v>268</v>
      </c>
      <c r="N22" s="30" t="s">
        <v>239</v>
      </c>
      <c r="O22" s="174" t="s">
        <v>272</v>
      </c>
    </row>
    <row r="23">
      <c r="B23" s="25" t="s">
        <v>136</v>
      </c>
      <c r="C23" s="25" t="s">
        <v>138</v>
      </c>
      <c r="D23" s="25" t="s">
        <v>121</v>
      </c>
      <c r="E23" s="64">
        <v>0.82</v>
      </c>
      <c r="F23" s="24"/>
      <c r="G23" s="6" t="s">
        <v>107</v>
      </c>
      <c r="H23" s="8" t="s">
        <v>393</v>
      </c>
      <c r="I23" s="24" t="s">
        <v>112</v>
      </c>
      <c r="J23" s="88" t="s">
        <v>395</v>
      </c>
    </row>
    <row r="24">
      <c r="B24" s="25" t="s">
        <v>207</v>
      </c>
      <c r="C24" s="25" t="s">
        <v>209</v>
      </c>
      <c r="D24" s="25" t="s">
        <v>396</v>
      </c>
      <c r="E24" s="64">
        <v>0.85</v>
      </c>
      <c r="F24" s="24"/>
      <c r="G24" s="6" t="s">
        <v>313</v>
      </c>
      <c r="H24" s="8" t="s">
        <v>397</v>
      </c>
      <c r="I24" s="24" t="s">
        <v>315</v>
      </c>
      <c r="J24" s="6" t="s">
        <v>311</v>
      </c>
      <c r="L24" s="2"/>
    </row>
    <row r="25">
      <c r="B25" s="25" t="s">
        <v>216</v>
      </c>
      <c r="C25" s="25" t="s">
        <v>219</v>
      </c>
      <c r="D25" s="25" t="s">
        <v>99</v>
      </c>
      <c r="E25" s="64">
        <v>0.2</v>
      </c>
      <c r="F25" s="24"/>
      <c r="G25" s="6" t="s">
        <v>147</v>
      </c>
      <c r="H25" s="8" t="s">
        <v>402</v>
      </c>
      <c r="I25" s="24" t="s">
        <v>149</v>
      </c>
      <c r="J25" s="88" t="s">
        <v>45</v>
      </c>
      <c r="L25" s="2"/>
      <c r="P25" s="2"/>
    </row>
    <row r="26">
      <c r="B26" s="25" t="s">
        <v>227</v>
      </c>
      <c r="C26" s="25" t="s">
        <v>229</v>
      </c>
      <c r="D26" s="25" t="s">
        <v>99</v>
      </c>
      <c r="E26" s="64">
        <v>0.85</v>
      </c>
      <c r="F26" s="24"/>
      <c r="G26" s="6" t="s">
        <v>320</v>
      </c>
      <c r="H26" s="8" t="s">
        <v>405</v>
      </c>
      <c r="I26" s="24" t="s">
        <v>125</v>
      </c>
      <c r="J26" s="6" t="s">
        <v>322</v>
      </c>
      <c r="L26" s="2"/>
      <c r="M26" s="2"/>
      <c r="N26" s="2"/>
      <c r="O26" s="2"/>
      <c r="P26" s="2"/>
    </row>
    <row r="27">
      <c r="B27" s="181" t="s">
        <v>408</v>
      </c>
      <c r="C27" s="181" t="s">
        <v>411</v>
      </c>
      <c r="D27" s="181" t="s">
        <v>73</v>
      </c>
      <c r="E27" s="181" t="s">
        <v>413</v>
      </c>
      <c r="F27" s="24"/>
      <c r="G27" s="6" t="s">
        <v>354</v>
      </c>
      <c r="H27" s="8" t="s">
        <v>415</v>
      </c>
      <c r="I27" s="24" t="s">
        <v>417</v>
      </c>
      <c r="J27" s="88" t="s">
        <v>122</v>
      </c>
      <c r="L27" s="2"/>
      <c r="M27" s="2"/>
      <c r="N27" s="2"/>
      <c r="O27" s="2"/>
      <c r="P27" s="2"/>
    </row>
    <row r="28">
      <c r="B28" s="25" t="s">
        <v>238</v>
      </c>
      <c r="C28" s="25" t="s">
        <v>241</v>
      </c>
      <c r="D28" s="25" t="s">
        <v>348</v>
      </c>
      <c r="E28" s="64">
        <v>0.4</v>
      </c>
      <c r="F28" s="24"/>
      <c r="G28" s="6" t="s">
        <v>324</v>
      </c>
      <c r="H28" s="8" t="s">
        <v>420</v>
      </c>
      <c r="I28" s="183" t="s">
        <v>327</v>
      </c>
      <c r="J28" s="6" t="s">
        <v>328</v>
      </c>
      <c r="L28" s="2"/>
      <c r="M28" s="2"/>
      <c r="N28" s="2"/>
      <c r="O28" s="2"/>
      <c r="P28" s="2"/>
    </row>
    <row r="29">
      <c r="B29" s="25" t="s">
        <v>231</v>
      </c>
      <c r="C29" s="25" t="s">
        <v>233</v>
      </c>
      <c r="D29" s="25" t="s">
        <v>150</v>
      </c>
      <c r="E29" s="64">
        <v>0.82</v>
      </c>
      <c r="F29" s="24"/>
      <c r="G29" s="6" t="s">
        <v>347</v>
      </c>
      <c r="H29" s="8" t="s">
        <v>424</v>
      </c>
      <c r="I29" s="24" t="s">
        <v>425</v>
      </c>
      <c r="J29" s="88" t="s">
        <v>366</v>
      </c>
      <c r="L29" s="2"/>
      <c r="M29" s="2"/>
      <c r="N29" s="2"/>
      <c r="O29" s="2"/>
      <c r="P29" s="2"/>
    </row>
    <row r="30">
      <c r="B30" s="31" t="s">
        <v>427</v>
      </c>
      <c r="C30" s="31" t="s">
        <v>429</v>
      </c>
      <c r="D30" s="31" t="s">
        <v>430</v>
      </c>
      <c r="E30" s="31" t="s">
        <v>432</v>
      </c>
      <c r="F30" s="24"/>
      <c r="G30" s="6" t="s">
        <v>121</v>
      </c>
      <c r="H30" s="8" t="s">
        <v>433</v>
      </c>
      <c r="I30" s="24" t="s">
        <v>125</v>
      </c>
      <c r="J30" s="88" t="s">
        <v>45</v>
      </c>
      <c r="L30" s="2"/>
      <c r="M30" s="2"/>
      <c r="N30" s="2"/>
      <c r="O30" s="2"/>
      <c r="P30" s="2"/>
    </row>
    <row r="31">
      <c r="E31" s="187"/>
      <c r="F31" s="187"/>
      <c r="G31" s="6" t="s">
        <v>332</v>
      </c>
      <c r="H31" s="8" t="s">
        <v>435</v>
      </c>
      <c r="I31" s="24" t="s">
        <v>335</v>
      </c>
      <c r="J31" s="6" t="s">
        <v>45</v>
      </c>
      <c r="L31" s="2"/>
      <c r="M31" s="2"/>
      <c r="N31" s="2"/>
      <c r="O31" s="2"/>
      <c r="P31" s="2"/>
    </row>
    <row r="32">
      <c r="E32" s="187"/>
      <c r="F32" s="187"/>
      <c r="G32" s="6" t="s">
        <v>338</v>
      </c>
      <c r="H32" s="8" t="s">
        <v>439</v>
      </c>
      <c r="I32" s="24" t="s">
        <v>340</v>
      </c>
      <c r="J32" s="6" t="s">
        <v>342</v>
      </c>
      <c r="L32" s="2"/>
      <c r="M32" s="2"/>
      <c r="N32" s="2"/>
      <c r="O32" s="2"/>
      <c r="P32" s="2"/>
    </row>
    <row r="33">
      <c r="E33" s="187"/>
      <c r="F33" s="187"/>
      <c r="G33" s="6" t="s">
        <v>150</v>
      </c>
      <c r="H33" s="8" t="s">
        <v>442</v>
      </c>
      <c r="I33" s="24" t="s">
        <v>154</v>
      </c>
      <c r="J33" s="88" t="s">
        <v>45</v>
      </c>
      <c r="L33" s="2"/>
      <c r="M33" s="2"/>
      <c r="N33" s="2"/>
      <c r="O33" s="2"/>
      <c r="P33" s="2"/>
    </row>
    <row r="34">
      <c r="E34" s="187"/>
      <c r="F34" s="187"/>
      <c r="G34" s="6" t="s">
        <v>348</v>
      </c>
      <c r="H34" s="8" t="s">
        <v>443</v>
      </c>
      <c r="I34" s="24" t="s">
        <v>350</v>
      </c>
      <c r="J34" s="6" t="s">
        <v>45</v>
      </c>
      <c r="L34" s="2"/>
      <c r="M34" s="2"/>
      <c r="N34" s="2"/>
      <c r="O34" s="2"/>
      <c r="P34" s="2"/>
    </row>
    <row r="35">
      <c r="E35" s="187"/>
      <c r="F35" s="187"/>
      <c r="G35" s="189" t="s">
        <v>73</v>
      </c>
      <c r="H35" s="191" t="s">
        <v>446</v>
      </c>
      <c r="I35" s="192" t="s">
        <v>77</v>
      </c>
      <c r="J35" s="189" t="s">
        <v>78</v>
      </c>
      <c r="L35" s="2"/>
      <c r="M35" s="2"/>
      <c r="N35" s="2"/>
      <c r="O35" s="2"/>
      <c r="P35" s="2"/>
    </row>
    <row r="36">
      <c r="E36" s="187"/>
      <c r="F36" s="187"/>
      <c r="G36" s="194" t="s">
        <v>85</v>
      </c>
      <c r="H36" s="195" t="s">
        <v>448</v>
      </c>
      <c r="I36" s="196" t="s">
        <v>90</v>
      </c>
      <c r="J36" s="194" t="s">
        <v>92</v>
      </c>
      <c r="L36" s="2"/>
      <c r="M36" s="2"/>
      <c r="N36" s="2"/>
      <c r="O36" s="2"/>
      <c r="P36" s="2"/>
    </row>
    <row r="37">
      <c r="G37" s="2"/>
      <c r="H37" s="2"/>
      <c r="J37" s="2"/>
      <c r="L37" s="2"/>
      <c r="M37" s="2"/>
      <c r="N37" s="2"/>
      <c r="O37" s="2"/>
      <c r="P37" s="2"/>
    </row>
    <row r="38">
      <c r="G38" s="2"/>
      <c r="H38" s="2"/>
      <c r="J38" s="2"/>
      <c r="L38" s="2"/>
      <c r="M38" s="2"/>
      <c r="N38" s="2"/>
      <c r="O38" s="2"/>
      <c r="P38" s="2"/>
    </row>
    <row r="39">
      <c r="G39" s="2"/>
      <c r="H39" s="2"/>
      <c r="J39" s="2"/>
      <c r="L39" s="2"/>
      <c r="M39" s="2"/>
      <c r="N39" s="2"/>
      <c r="O39" s="2"/>
      <c r="P39" s="2"/>
    </row>
    <row r="40">
      <c r="B40" s="198" t="s">
        <v>48</v>
      </c>
      <c r="G40" s="2"/>
      <c r="H40" s="2"/>
      <c r="J40" s="2"/>
      <c r="L40" s="2"/>
      <c r="M40" s="2"/>
      <c r="N40" s="2"/>
      <c r="O40" s="2"/>
      <c r="P40" s="2"/>
    </row>
    <row r="41">
      <c r="G41" s="2"/>
      <c r="H41" s="2"/>
      <c r="J41" s="2"/>
      <c r="L41" s="2"/>
      <c r="M41" s="2"/>
      <c r="N41" s="2"/>
      <c r="O41" s="2"/>
      <c r="P41" s="2"/>
    </row>
    <row r="42">
      <c r="B42" s="198" t="s">
        <v>453</v>
      </c>
      <c r="D42" s="198" t="s">
        <v>454</v>
      </c>
      <c r="H42" s="9" t="s">
        <v>455</v>
      </c>
      <c r="I42" s="2"/>
      <c r="K42" s="2"/>
      <c r="L42" s="2"/>
      <c r="M42" s="2"/>
      <c r="N42" s="2"/>
      <c r="O42" s="2"/>
    </row>
    <row r="43">
      <c r="B43" s="25" t="s">
        <v>101</v>
      </c>
      <c r="C43" s="25" t="s">
        <v>103</v>
      </c>
      <c r="D43" s="25">
        <v>10.0</v>
      </c>
      <c r="F43" s="6" t="s">
        <v>107</v>
      </c>
      <c r="G43" s="200" t="s">
        <v>461</v>
      </c>
      <c r="H43" s="50" t="s">
        <v>117</v>
      </c>
      <c r="I43" s="2"/>
      <c r="K43" s="2"/>
      <c r="L43" s="2"/>
      <c r="M43" s="2"/>
      <c r="N43" s="2"/>
      <c r="O43" s="2"/>
    </row>
    <row r="44">
      <c r="H44" s="2"/>
      <c r="I44" s="2"/>
      <c r="K44" s="2"/>
      <c r="L44" s="2"/>
      <c r="M44" s="2"/>
      <c r="N44" s="2"/>
      <c r="O44" s="2"/>
    </row>
    <row r="45" ht="54.0" customHeight="1">
      <c r="B45" s="25" t="s">
        <v>136</v>
      </c>
      <c r="C45" s="25" t="s">
        <v>138</v>
      </c>
      <c r="D45" s="64">
        <v>0.82</v>
      </c>
      <c r="F45" s="6" t="s">
        <v>121</v>
      </c>
      <c r="G45" s="151" t="s">
        <v>465</v>
      </c>
      <c r="H45" s="50" t="s">
        <v>127</v>
      </c>
      <c r="I45" s="2"/>
      <c r="K45" s="2"/>
      <c r="L45" s="2"/>
      <c r="M45" s="2"/>
      <c r="N45" s="2"/>
      <c r="O45" s="2"/>
    </row>
    <row r="46">
      <c r="H46" s="2"/>
      <c r="I46" s="2"/>
      <c r="K46" s="2"/>
      <c r="L46" s="2"/>
      <c r="M46" s="2"/>
      <c r="N46" s="2"/>
      <c r="O46" s="2"/>
    </row>
    <row r="47">
      <c r="B47" s="25" t="s">
        <v>151</v>
      </c>
      <c r="C47" s="25" t="s">
        <v>153</v>
      </c>
      <c r="D47" s="64">
        <v>0.7</v>
      </c>
      <c r="F47" s="6" t="s">
        <v>132</v>
      </c>
      <c r="G47" s="8" t="s">
        <v>469</v>
      </c>
      <c r="H47" s="6" t="s">
        <v>51</v>
      </c>
      <c r="I47" s="2"/>
      <c r="K47" s="2"/>
      <c r="L47" s="2"/>
      <c r="M47" s="2"/>
      <c r="N47" s="2"/>
      <c r="O47" s="2"/>
    </row>
    <row r="48">
      <c r="F48" s="2"/>
      <c r="G48" s="2"/>
      <c r="H48" s="2"/>
      <c r="I48" s="2"/>
      <c r="K48" s="2"/>
      <c r="L48" s="2"/>
      <c r="M48" s="2"/>
      <c r="N48" s="2"/>
      <c r="O48" s="2"/>
    </row>
    <row r="49">
      <c r="B49" s="25" t="s">
        <v>190</v>
      </c>
      <c r="C49" s="25" t="s">
        <v>192</v>
      </c>
      <c r="D49" s="25" t="s">
        <v>116</v>
      </c>
      <c r="F49" s="6" t="s">
        <v>139</v>
      </c>
      <c r="G49" s="8" t="s">
        <v>472</v>
      </c>
      <c r="H49" s="6" t="s">
        <v>142</v>
      </c>
      <c r="I49" s="6" t="s">
        <v>122</v>
      </c>
      <c r="K49" s="2"/>
      <c r="L49" s="2"/>
      <c r="M49" s="2"/>
      <c r="N49" s="2"/>
      <c r="O49" s="2"/>
    </row>
    <row r="50">
      <c r="B50" s="97"/>
      <c r="C50" s="97"/>
      <c r="F50" s="100"/>
      <c r="G50" s="211"/>
      <c r="H50" s="100"/>
      <c r="K50" s="2"/>
      <c r="L50" s="2"/>
      <c r="M50" s="2"/>
      <c r="N50" s="2"/>
      <c r="O50" s="2"/>
    </row>
    <row r="51">
      <c r="B51" s="25" t="s">
        <v>211</v>
      </c>
      <c r="C51" s="25" t="s">
        <v>213</v>
      </c>
      <c r="D51" s="64">
        <v>0.65</v>
      </c>
      <c r="F51" s="6" t="s">
        <v>147</v>
      </c>
      <c r="G51" s="8" t="s">
        <v>478</v>
      </c>
      <c r="H51" s="6" t="s">
        <v>149</v>
      </c>
      <c r="I51" s="6" t="s">
        <v>45</v>
      </c>
      <c r="K51" s="2"/>
      <c r="L51" s="2"/>
      <c r="M51" s="2"/>
      <c r="N51" s="2"/>
      <c r="O51" s="2"/>
    </row>
    <row r="52">
      <c r="B52" s="97"/>
      <c r="C52" s="97"/>
      <c r="D52" s="112"/>
      <c r="F52" s="100"/>
      <c r="G52" s="211"/>
      <c r="H52" s="100"/>
      <c r="K52" s="2"/>
      <c r="L52" s="2"/>
      <c r="M52" s="2"/>
      <c r="N52" s="2"/>
      <c r="O52" s="2"/>
    </row>
    <row r="53">
      <c r="B53" s="25" t="s">
        <v>231</v>
      </c>
      <c r="C53" s="25" t="s">
        <v>233</v>
      </c>
      <c r="D53" s="64">
        <v>0.82</v>
      </c>
      <c r="F53" s="6" t="s">
        <v>150</v>
      </c>
      <c r="G53" s="8" t="s">
        <v>481</v>
      </c>
      <c r="H53" s="6" t="s">
        <v>45</v>
      </c>
      <c r="K53" s="2"/>
      <c r="L53" s="2"/>
      <c r="M53" s="2"/>
      <c r="N53" s="2"/>
      <c r="O53" s="2"/>
    </row>
    <row r="54">
      <c r="F54" s="2"/>
      <c r="G54" s="2"/>
      <c r="H54" s="2"/>
      <c r="I54" s="2"/>
      <c r="K54" s="2"/>
      <c r="L54" s="2"/>
      <c r="M54" s="2"/>
      <c r="N54" s="2"/>
      <c r="O54" s="2"/>
    </row>
    <row r="55">
      <c r="B55" s="125" t="s">
        <v>222</v>
      </c>
      <c r="C55" s="125" t="s">
        <v>223</v>
      </c>
      <c r="D55" s="126">
        <v>0.8</v>
      </c>
      <c r="F55" s="125" t="s">
        <v>156</v>
      </c>
      <c r="G55" s="216" t="s">
        <v>482</v>
      </c>
      <c r="H55" s="125" t="s">
        <v>158</v>
      </c>
      <c r="I55" s="125" t="s">
        <v>160</v>
      </c>
      <c r="J55" s="217"/>
      <c r="K55" s="30" t="s">
        <v>266</v>
      </c>
      <c r="L55" s="32" t="s">
        <v>268</v>
      </c>
      <c r="M55" s="30" t="s">
        <v>239</v>
      </c>
      <c r="N55" s="133" t="s">
        <v>272</v>
      </c>
      <c r="O55" s="2"/>
    </row>
    <row r="56">
      <c r="F56" s="2"/>
      <c r="G56" s="2"/>
      <c r="H56" s="2"/>
      <c r="I56" s="2"/>
      <c r="K56" s="2"/>
      <c r="L56" s="2"/>
      <c r="M56" s="2"/>
      <c r="N56" s="2"/>
      <c r="O56" s="2"/>
    </row>
    <row r="57">
      <c r="B57" s="136" t="s">
        <v>165</v>
      </c>
      <c r="C57" s="6" t="s">
        <v>167</v>
      </c>
      <c r="D57" s="138">
        <v>0.95</v>
      </c>
      <c r="F57" s="2"/>
      <c r="G57" s="2"/>
      <c r="H57" s="2"/>
      <c r="I57" s="2"/>
      <c r="K57" s="30" t="s">
        <v>193</v>
      </c>
      <c r="L57" s="32" t="s">
        <v>195</v>
      </c>
      <c r="M57" s="33" t="s">
        <v>61</v>
      </c>
      <c r="N57" s="91" t="s">
        <v>197</v>
      </c>
      <c r="O57" s="2"/>
    </row>
    <row r="58">
      <c r="B58" s="198"/>
      <c r="F58" s="2"/>
      <c r="G58" s="2"/>
      <c r="H58" s="2"/>
      <c r="I58" s="2"/>
      <c r="K58" s="2"/>
      <c r="L58" s="2"/>
      <c r="M58" s="2"/>
      <c r="N58" s="2"/>
      <c r="O58" s="2"/>
    </row>
    <row r="59">
      <c r="B59" s="198" t="s">
        <v>483</v>
      </c>
      <c r="F59" s="2"/>
      <c r="G59" s="2"/>
      <c r="H59" s="2"/>
      <c r="I59" s="2"/>
      <c r="K59" s="2"/>
      <c r="L59" s="2"/>
      <c r="M59" s="2"/>
      <c r="N59" s="2"/>
      <c r="O59" s="2"/>
    </row>
    <row r="60">
      <c r="B60" s="21" t="s">
        <v>38</v>
      </c>
      <c r="C60" s="21" t="s">
        <v>42</v>
      </c>
      <c r="D60" s="21">
        <v>11.0</v>
      </c>
      <c r="F60" s="69" t="s">
        <v>44</v>
      </c>
      <c r="G60" s="70" t="s">
        <v>484</v>
      </c>
      <c r="H60" s="69" t="s">
        <v>161</v>
      </c>
      <c r="I60" s="69" t="s">
        <v>162</v>
      </c>
      <c r="K60" s="2"/>
      <c r="L60" s="2"/>
      <c r="M60" s="2"/>
      <c r="N60" s="2"/>
      <c r="O60" s="2"/>
    </row>
    <row r="61">
      <c r="F61" s="2"/>
      <c r="G61" s="2"/>
      <c r="H61" s="2"/>
      <c r="I61" s="2"/>
      <c r="K61" s="2"/>
      <c r="L61" s="2"/>
      <c r="M61" s="2"/>
      <c r="N61" s="2"/>
      <c r="O61" s="2"/>
    </row>
    <row r="62">
      <c r="B62" s="35" t="s">
        <v>65</v>
      </c>
      <c r="C62" s="35" t="s">
        <v>69</v>
      </c>
      <c r="D62" s="37">
        <v>0.59</v>
      </c>
      <c r="F62" s="26" t="s">
        <v>8</v>
      </c>
      <c r="G62" s="28" t="s">
        <v>485</v>
      </c>
      <c r="H62" s="26" t="s">
        <v>16</v>
      </c>
      <c r="I62" s="26" t="s">
        <v>18</v>
      </c>
      <c r="K62" s="2"/>
      <c r="L62" s="2"/>
      <c r="M62" s="2"/>
      <c r="N62" s="2"/>
      <c r="O62" s="2"/>
    </row>
    <row r="63">
      <c r="F63" s="2"/>
      <c r="G63" s="2"/>
      <c r="H63" s="2"/>
      <c r="I63" s="2"/>
      <c r="K63" s="2"/>
      <c r="L63" s="2"/>
      <c r="M63" s="2"/>
      <c r="N63" s="2"/>
      <c r="O63" s="2"/>
    </row>
    <row r="64">
      <c r="B64" s="42" t="s">
        <v>93</v>
      </c>
      <c r="C64" s="42" t="s">
        <v>95</v>
      </c>
      <c r="D64" s="42">
        <v>20.0</v>
      </c>
      <c r="F64" s="62" t="s">
        <v>27</v>
      </c>
      <c r="G64" s="63" t="s">
        <v>489</v>
      </c>
      <c r="H64" s="62" t="s">
        <v>30</v>
      </c>
      <c r="I64" s="62" t="s">
        <v>31</v>
      </c>
      <c r="K64" s="2"/>
      <c r="L64" s="2"/>
      <c r="M64" s="2"/>
      <c r="N64" s="2"/>
      <c r="O64" s="2"/>
    </row>
    <row r="65">
      <c r="F65" s="2"/>
      <c r="G65" s="2"/>
      <c r="H65" s="2"/>
      <c r="I65" s="2"/>
      <c r="K65" s="2"/>
      <c r="L65" s="2"/>
      <c r="M65" s="2"/>
      <c r="N65" s="2"/>
      <c r="O65" s="2"/>
    </row>
    <row r="66">
      <c r="B66" s="75" t="s">
        <v>172</v>
      </c>
      <c r="C66" s="75" t="s">
        <v>173</v>
      </c>
      <c r="D66" s="78">
        <v>0.85</v>
      </c>
      <c r="F66" s="99" t="s">
        <v>39</v>
      </c>
      <c r="G66" s="102" t="s">
        <v>490</v>
      </c>
      <c r="H66" s="99" t="s">
        <v>43</v>
      </c>
      <c r="I66" s="99" t="s">
        <v>45</v>
      </c>
      <c r="K66" s="2"/>
      <c r="L66" s="2"/>
      <c r="M66" s="2"/>
      <c r="N66" s="2"/>
      <c r="O66" s="2"/>
    </row>
    <row r="67">
      <c r="F67" s="2"/>
      <c r="G67" s="2"/>
      <c r="H67" s="2"/>
      <c r="I67" s="2"/>
      <c r="K67" s="2"/>
      <c r="L67" s="2"/>
      <c r="M67" s="2"/>
      <c r="N67" s="2"/>
      <c r="O67" s="2"/>
    </row>
    <row r="68">
      <c r="F68" s="2"/>
      <c r="G68" s="2"/>
      <c r="H68" s="2"/>
      <c r="I68" s="2"/>
      <c r="K68" s="2"/>
      <c r="L68" s="2"/>
      <c r="M68" s="2"/>
      <c r="N68" s="2"/>
      <c r="O68" s="2"/>
    </row>
    <row r="69">
      <c r="B69" s="118" t="s">
        <v>243</v>
      </c>
      <c r="C69" s="118" t="s">
        <v>244</v>
      </c>
      <c r="D69" s="120">
        <v>0.7</v>
      </c>
      <c r="F69" s="150" t="s">
        <v>47</v>
      </c>
      <c r="G69" s="152" t="s">
        <v>492</v>
      </c>
      <c r="H69" s="150" t="s">
        <v>50</v>
      </c>
      <c r="I69" s="150" t="s">
        <v>51</v>
      </c>
      <c r="K69" s="2"/>
      <c r="L69" s="2"/>
      <c r="M69" s="2"/>
      <c r="N69" s="2"/>
      <c r="O69" s="2"/>
    </row>
    <row r="70">
      <c r="F70" s="2"/>
      <c r="G70" s="2"/>
      <c r="H70" s="2"/>
      <c r="I70" s="2"/>
      <c r="K70" s="2"/>
      <c r="L70" s="2"/>
      <c r="M70" s="2"/>
      <c r="N70" s="2"/>
      <c r="O70" s="2"/>
    </row>
    <row r="71">
      <c r="B71" s="127" t="s">
        <v>260</v>
      </c>
      <c r="C71" s="127" t="s">
        <v>263</v>
      </c>
      <c r="D71" s="127" t="s">
        <v>264</v>
      </c>
      <c r="F71" s="160" t="s">
        <v>54</v>
      </c>
      <c r="G71" s="162" t="s">
        <v>493</v>
      </c>
      <c r="H71" s="160" t="s">
        <v>57</v>
      </c>
      <c r="I71" s="160" t="s">
        <v>59</v>
      </c>
      <c r="K71" s="2"/>
      <c r="L71" s="2"/>
      <c r="M71" s="2"/>
      <c r="N71" s="2"/>
      <c r="O71" s="2"/>
    </row>
    <row r="72">
      <c r="F72" s="2"/>
      <c r="G72" s="2"/>
      <c r="H72" s="2"/>
      <c r="I72" s="2"/>
      <c r="K72" s="2"/>
      <c r="L72" s="2"/>
      <c r="M72" s="2"/>
      <c r="N72" s="2"/>
      <c r="O72" s="2"/>
    </row>
    <row r="73">
      <c r="B73" s="135" t="s">
        <v>280</v>
      </c>
      <c r="C73" s="135" t="s">
        <v>282</v>
      </c>
      <c r="D73" s="135" t="s">
        <v>283</v>
      </c>
      <c r="F73" s="170" t="s">
        <v>63</v>
      </c>
      <c r="G73" s="171" t="s">
        <v>495</v>
      </c>
      <c r="H73" s="170" t="s">
        <v>67</v>
      </c>
      <c r="I73" s="170" t="s">
        <v>70</v>
      </c>
      <c r="K73" s="2"/>
      <c r="L73" s="2"/>
      <c r="M73" s="2"/>
      <c r="N73" s="2"/>
      <c r="O73" s="2"/>
    </row>
    <row r="74">
      <c r="F74" s="2"/>
      <c r="G74" s="2"/>
      <c r="H74" s="2"/>
      <c r="I74" s="2"/>
      <c r="K74" s="2"/>
      <c r="L74" s="2"/>
      <c r="M74" s="2"/>
      <c r="N74" s="2"/>
      <c r="O74" s="2"/>
    </row>
    <row r="75">
      <c r="B75" s="181" t="s">
        <v>408</v>
      </c>
      <c r="C75" s="181" t="s">
        <v>411</v>
      </c>
      <c r="D75" s="181" t="s">
        <v>413</v>
      </c>
      <c r="F75" s="189" t="s">
        <v>73</v>
      </c>
      <c r="G75" s="191" t="s">
        <v>496</v>
      </c>
      <c r="H75" s="189" t="s">
        <v>77</v>
      </c>
      <c r="I75" s="189" t="s">
        <v>78</v>
      </c>
      <c r="K75" s="2"/>
      <c r="L75" s="2"/>
      <c r="M75" s="2"/>
      <c r="N75" s="2"/>
      <c r="O75" s="2"/>
    </row>
    <row r="76">
      <c r="F76" s="2"/>
      <c r="G76" s="2"/>
      <c r="H76" s="2"/>
      <c r="I76" s="2"/>
      <c r="K76" s="2"/>
      <c r="L76" s="2"/>
      <c r="M76" s="2"/>
      <c r="N76" s="2"/>
      <c r="O76" s="2"/>
    </row>
    <row r="77">
      <c r="B77" s="31" t="s">
        <v>427</v>
      </c>
      <c r="C77" s="31" t="s">
        <v>429</v>
      </c>
      <c r="D77" s="31" t="s">
        <v>432</v>
      </c>
      <c r="F77" s="194" t="s">
        <v>85</v>
      </c>
      <c r="G77" s="195" t="s">
        <v>498</v>
      </c>
      <c r="H77" s="194" t="s">
        <v>90</v>
      </c>
      <c r="I77" s="194" t="s">
        <v>92</v>
      </c>
      <c r="K77" s="2"/>
      <c r="L77" s="2"/>
      <c r="M77" s="2"/>
      <c r="N77" s="2"/>
      <c r="O77" s="2"/>
    </row>
    <row r="78">
      <c r="F78" s="2"/>
      <c r="G78" s="2"/>
      <c r="H78" s="2"/>
      <c r="I78" s="2"/>
      <c r="K78" s="2"/>
      <c r="L78" s="2"/>
      <c r="M78" s="2"/>
      <c r="N78" s="2"/>
      <c r="O78" s="2"/>
    </row>
    <row r="79">
      <c r="F79" s="199" t="s">
        <v>75</v>
      </c>
      <c r="G79" s="221" t="s">
        <v>499</v>
      </c>
      <c r="H79" s="199" t="s">
        <v>82</v>
      </c>
      <c r="I79" s="199" t="s">
        <v>83</v>
      </c>
      <c r="K79" s="202" t="s">
        <v>336</v>
      </c>
      <c r="L79" s="222" t="s">
        <v>337</v>
      </c>
      <c r="M79" s="202" t="s">
        <v>239</v>
      </c>
      <c r="N79" s="204" t="s">
        <v>341</v>
      </c>
      <c r="O79" s="2"/>
    </row>
    <row r="80">
      <c r="F80" s="2"/>
      <c r="G80" s="2"/>
      <c r="H80" s="2"/>
      <c r="I80" s="2"/>
      <c r="K80" s="2"/>
      <c r="L80" s="2"/>
      <c r="M80" s="2"/>
      <c r="N80" s="2"/>
      <c r="O80" s="2"/>
    </row>
    <row r="81">
      <c r="F81" s="205" t="s">
        <v>98</v>
      </c>
      <c r="G81" s="224" t="s">
        <v>502</v>
      </c>
      <c r="H81" s="205" t="s">
        <v>102</v>
      </c>
      <c r="I81" s="205" t="s">
        <v>104</v>
      </c>
      <c r="K81" s="207" t="s">
        <v>356</v>
      </c>
      <c r="L81" s="225" t="s">
        <v>360</v>
      </c>
      <c r="M81" s="207" t="s">
        <v>239</v>
      </c>
      <c r="N81" s="209" t="s">
        <v>365</v>
      </c>
      <c r="O81" s="2"/>
    </row>
    <row r="82"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B84" s="198" t="s">
        <v>503</v>
      </c>
      <c r="G84" s="2"/>
      <c r="H84" s="2"/>
      <c r="J84" s="2"/>
      <c r="K84" s="2"/>
      <c r="L84" s="2"/>
      <c r="M84" s="2"/>
      <c r="N84" s="2"/>
      <c r="O84" s="2"/>
      <c r="P84" s="2"/>
    </row>
    <row r="85">
      <c r="B85" s="60" t="s">
        <v>129</v>
      </c>
      <c r="C85" s="60" t="s">
        <v>130</v>
      </c>
      <c r="D85" s="61">
        <v>46026.0</v>
      </c>
      <c r="F85" s="79" t="s">
        <v>131</v>
      </c>
      <c r="G85" s="80" t="s">
        <v>504</v>
      </c>
      <c r="H85" s="79" t="s">
        <v>177</v>
      </c>
      <c r="I85" s="83" t="s">
        <v>122</v>
      </c>
      <c r="K85" s="2"/>
      <c r="L85" s="2"/>
      <c r="M85" s="2"/>
      <c r="N85" s="2"/>
      <c r="O85" s="2"/>
      <c r="P85" s="2"/>
    </row>
    <row r="86">
      <c r="F86" s="2"/>
      <c r="G86" s="2"/>
      <c r="H86" s="2"/>
      <c r="I86" s="2"/>
      <c r="K86" s="2"/>
      <c r="L86" s="2"/>
      <c r="M86" s="2"/>
      <c r="N86" s="2"/>
      <c r="O86" s="2"/>
      <c r="P86" s="2"/>
    </row>
    <row r="87">
      <c r="B87" s="48" t="s">
        <v>111</v>
      </c>
      <c r="C87" s="48" t="s">
        <v>114</v>
      </c>
      <c r="D87" s="52" t="s">
        <v>116</v>
      </c>
      <c r="F87" s="55" t="s">
        <v>115</v>
      </c>
      <c r="G87" s="56" t="s">
        <v>505</v>
      </c>
      <c r="H87" s="55" t="s">
        <v>120</v>
      </c>
      <c r="I87" s="58" t="s">
        <v>122</v>
      </c>
      <c r="K87" s="30" t="s">
        <v>141</v>
      </c>
      <c r="L87" s="107" t="s">
        <v>330</v>
      </c>
      <c r="M87" s="33" t="s">
        <v>61</v>
      </c>
      <c r="N87" s="34" t="s">
        <v>145</v>
      </c>
      <c r="O87" s="2"/>
      <c r="P87" s="2"/>
    </row>
    <row r="88">
      <c r="G88" s="2"/>
      <c r="H88" s="2"/>
      <c r="J88" s="2"/>
      <c r="L88" s="2"/>
      <c r="M88" s="2"/>
      <c r="N88" s="2"/>
      <c r="O88" s="2"/>
      <c r="P88" s="2"/>
    </row>
    <row r="89">
      <c r="G89" s="2"/>
      <c r="H89" s="2"/>
      <c r="J89" s="2"/>
      <c r="L89" s="2"/>
      <c r="M89" s="2"/>
      <c r="N89" s="2"/>
      <c r="O89" s="2"/>
      <c r="P89" s="2"/>
    </row>
    <row r="90">
      <c r="B90" s="198" t="s">
        <v>507</v>
      </c>
      <c r="G90" s="2"/>
      <c r="H90" s="2"/>
      <c r="J90" s="2"/>
      <c r="L90" s="2"/>
      <c r="M90" s="2"/>
      <c r="N90" s="2"/>
      <c r="O90" s="2"/>
      <c r="P90" s="2"/>
    </row>
    <row r="91">
      <c r="B91" s="25" t="s">
        <v>186</v>
      </c>
      <c r="C91" s="25" t="s">
        <v>188</v>
      </c>
      <c r="D91" s="25">
        <v>0.0</v>
      </c>
      <c r="F91" s="6" t="s">
        <v>226</v>
      </c>
      <c r="G91" s="8" t="s">
        <v>508</v>
      </c>
      <c r="H91" s="6" t="s">
        <v>232</v>
      </c>
      <c r="I91" s="6" t="s">
        <v>234</v>
      </c>
      <c r="J91" s="2"/>
      <c r="K91" s="30" t="s">
        <v>55</v>
      </c>
      <c r="L91" s="32" t="s">
        <v>58</v>
      </c>
      <c r="M91" s="33" t="s">
        <v>61</v>
      </c>
      <c r="N91" s="34" t="s">
        <v>62</v>
      </c>
      <c r="O91" s="2"/>
      <c r="P91" s="2"/>
    </row>
    <row r="92">
      <c r="H92" s="2"/>
      <c r="J92" s="2"/>
      <c r="O92" s="2"/>
      <c r="P92" s="2"/>
    </row>
    <row r="93">
      <c r="B93" s="25" t="s">
        <v>190</v>
      </c>
      <c r="C93" s="25" t="s">
        <v>192</v>
      </c>
      <c r="D93" s="25" t="s">
        <v>116</v>
      </c>
      <c r="F93" s="6" t="s">
        <v>248</v>
      </c>
      <c r="G93" s="8" t="s">
        <v>509</v>
      </c>
      <c r="H93" s="183" t="s">
        <v>281</v>
      </c>
      <c r="I93" s="6" t="s">
        <v>254</v>
      </c>
      <c r="J93" s="2"/>
      <c r="K93" s="30" t="s">
        <v>84</v>
      </c>
      <c r="L93" s="32" t="s">
        <v>86</v>
      </c>
      <c r="M93" s="33" t="s">
        <v>61</v>
      </c>
      <c r="N93" s="34" t="s">
        <v>89</v>
      </c>
      <c r="O93" s="2"/>
      <c r="P93" s="2"/>
    </row>
    <row r="94">
      <c r="H94" s="2"/>
      <c r="O94" s="2"/>
      <c r="P94" s="2"/>
    </row>
    <row r="95">
      <c r="B95" s="25" t="s">
        <v>202</v>
      </c>
      <c r="C95" s="25" t="s">
        <v>204</v>
      </c>
      <c r="D95" s="64">
        <v>0.1</v>
      </c>
      <c r="F95" s="6" t="s">
        <v>269</v>
      </c>
      <c r="G95" s="8" t="s">
        <v>512</v>
      </c>
      <c r="H95" s="6" t="s">
        <v>271</v>
      </c>
      <c r="I95" s="6" t="s">
        <v>160</v>
      </c>
      <c r="K95" s="30" t="s">
        <v>105</v>
      </c>
      <c r="L95" s="32" t="s">
        <v>108</v>
      </c>
      <c r="M95" s="33" t="s">
        <v>61</v>
      </c>
      <c r="N95" s="34" t="s">
        <v>110</v>
      </c>
      <c r="O95" s="2"/>
      <c r="P95" s="2"/>
    </row>
    <row r="96">
      <c r="H96" s="2"/>
      <c r="O96" s="2"/>
      <c r="P96" s="2"/>
    </row>
    <row r="97">
      <c r="B97" s="25" t="s">
        <v>207</v>
      </c>
      <c r="C97" s="25" t="s">
        <v>209</v>
      </c>
      <c r="D97" s="64">
        <v>0.85</v>
      </c>
      <c r="F97" s="6" t="s">
        <v>285</v>
      </c>
      <c r="G97" s="8" t="s">
        <v>513</v>
      </c>
      <c r="H97" s="6" t="s">
        <v>289</v>
      </c>
      <c r="I97" s="6" t="s">
        <v>290</v>
      </c>
      <c r="K97" s="30" t="s">
        <v>124</v>
      </c>
      <c r="L97" s="32" t="s">
        <v>126</v>
      </c>
      <c r="M97" s="33" t="s">
        <v>61</v>
      </c>
      <c r="N97" s="34" t="s">
        <v>128</v>
      </c>
      <c r="O97" s="2"/>
      <c r="P97" s="2"/>
    </row>
    <row r="98">
      <c r="H98" s="2"/>
      <c r="O98" s="2"/>
      <c r="P98" s="2"/>
    </row>
    <row r="99">
      <c r="B99" s="25" t="s">
        <v>216</v>
      </c>
      <c r="C99" s="25" t="s">
        <v>219</v>
      </c>
      <c r="D99" s="64">
        <v>0.2</v>
      </c>
      <c r="F99" s="6" t="s">
        <v>299</v>
      </c>
      <c r="G99" s="8" t="s">
        <v>514</v>
      </c>
      <c r="H99" s="6" t="s">
        <v>302</v>
      </c>
      <c r="I99" s="6" t="s">
        <v>83</v>
      </c>
      <c r="K99" s="30" t="s">
        <v>164</v>
      </c>
      <c r="L99" s="32" t="s">
        <v>166</v>
      </c>
      <c r="M99" s="33" t="s">
        <v>61</v>
      </c>
      <c r="N99" s="34" t="s">
        <v>169</v>
      </c>
      <c r="O99" s="2"/>
      <c r="P99" s="2"/>
    </row>
    <row r="100">
      <c r="B100" s="2"/>
      <c r="C100" s="2"/>
      <c r="D100" s="2"/>
      <c r="H100" s="2"/>
      <c r="O100" s="2"/>
      <c r="P100" s="2"/>
    </row>
    <row r="101">
      <c r="B101" s="25" t="s">
        <v>227</v>
      </c>
      <c r="C101" s="25" t="s">
        <v>229</v>
      </c>
      <c r="D101" s="64">
        <v>0.85</v>
      </c>
      <c r="F101" s="6" t="s">
        <v>296</v>
      </c>
      <c r="G101" s="8" t="s">
        <v>515</v>
      </c>
      <c r="H101" s="6" t="s">
        <v>289</v>
      </c>
      <c r="I101" s="6" t="s">
        <v>311</v>
      </c>
      <c r="K101" s="30" t="s">
        <v>180</v>
      </c>
      <c r="L101" s="32" t="s">
        <v>182</v>
      </c>
      <c r="M101" s="33" t="s">
        <v>61</v>
      </c>
      <c r="N101" s="34" t="s">
        <v>184</v>
      </c>
      <c r="O101" s="2"/>
      <c r="P101" s="2"/>
    </row>
    <row r="102">
      <c r="G102" s="2"/>
      <c r="H102" s="2"/>
      <c r="J102" s="2"/>
      <c r="L102" s="2"/>
      <c r="M102" s="2"/>
      <c r="N102" s="2"/>
      <c r="O102" s="2"/>
      <c r="P102" s="2"/>
    </row>
    <row r="103">
      <c r="B103" s="25" t="s">
        <v>238</v>
      </c>
      <c r="C103" s="25" t="s">
        <v>241</v>
      </c>
      <c r="D103" s="64">
        <v>0.4</v>
      </c>
      <c r="F103" s="6" t="s">
        <v>313</v>
      </c>
      <c r="G103" s="8" t="s">
        <v>517</v>
      </c>
      <c r="H103" s="6" t="s">
        <v>315</v>
      </c>
      <c r="I103" s="6" t="s">
        <v>311</v>
      </c>
      <c r="J103" s="2"/>
      <c r="K103" s="30" t="s">
        <v>235</v>
      </c>
      <c r="L103" s="32" t="s">
        <v>236</v>
      </c>
      <c r="M103" s="30" t="s">
        <v>239</v>
      </c>
      <c r="N103" s="34" t="s">
        <v>240</v>
      </c>
      <c r="O103" s="2"/>
      <c r="P103" s="2"/>
    </row>
    <row r="104">
      <c r="G104" s="2"/>
      <c r="H104" s="2"/>
      <c r="J104" s="2"/>
      <c r="O104" s="2"/>
      <c r="P104" s="2"/>
    </row>
    <row r="105">
      <c r="B105" s="24" t="s">
        <v>246</v>
      </c>
      <c r="C105" s="24" t="s">
        <v>500</v>
      </c>
      <c r="D105" s="227">
        <v>0.55</v>
      </c>
      <c r="F105" s="6" t="s">
        <v>320</v>
      </c>
      <c r="G105" s="8" t="s">
        <v>518</v>
      </c>
      <c r="H105" s="6" t="s">
        <v>125</v>
      </c>
      <c r="I105" s="6" t="s">
        <v>322</v>
      </c>
      <c r="J105" s="2"/>
      <c r="K105" s="30" t="s">
        <v>255</v>
      </c>
      <c r="L105" s="32" t="s">
        <v>256</v>
      </c>
      <c r="M105" s="30" t="s">
        <v>239</v>
      </c>
      <c r="N105" s="34" t="s">
        <v>258</v>
      </c>
      <c r="O105" s="2"/>
      <c r="P105" s="2"/>
    </row>
    <row r="106">
      <c r="G106" s="2"/>
      <c r="H106" s="2"/>
      <c r="J106" s="2"/>
      <c r="O106" s="2"/>
      <c r="P106" s="2"/>
    </row>
    <row r="107">
      <c r="B107" s="24" t="s">
        <v>257</v>
      </c>
      <c r="C107" s="228" t="s">
        <v>259</v>
      </c>
      <c r="D107" s="24">
        <v>12.0</v>
      </c>
      <c r="F107" s="6" t="s">
        <v>324</v>
      </c>
      <c r="G107" s="8" t="s">
        <v>519</v>
      </c>
      <c r="H107" s="183" t="s">
        <v>327</v>
      </c>
      <c r="I107" s="6" t="s">
        <v>328</v>
      </c>
      <c r="J107" s="2"/>
      <c r="K107" s="30" t="s">
        <v>273</v>
      </c>
      <c r="L107" s="32" t="s">
        <v>275</v>
      </c>
      <c r="M107" s="30" t="s">
        <v>239</v>
      </c>
      <c r="N107" s="34" t="s">
        <v>278</v>
      </c>
      <c r="O107" s="2"/>
      <c r="P107" s="2"/>
    </row>
    <row r="108">
      <c r="G108" s="2"/>
      <c r="H108" s="2"/>
      <c r="J108" s="2"/>
      <c r="O108" s="2"/>
      <c r="P108" s="2"/>
    </row>
    <row r="109">
      <c r="F109" s="6" t="s">
        <v>332</v>
      </c>
      <c r="G109" s="8" t="s">
        <v>521</v>
      </c>
      <c r="H109" s="6" t="s">
        <v>335</v>
      </c>
      <c r="I109" s="6" t="s">
        <v>45</v>
      </c>
      <c r="J109" s="2"/>
      <c r="K109" s="30" t="s">
        <v>291</v>
      </c>
      <c r="L109" s="32" t="s">
        <v>292</v>
      </c>
      <c r="M109" s="30" t="s">
        <v>239</v>
      </c>
      <c r="N109" s="34" t="s">
        <v>293</v>
      </c>
      <c r="O109" s="2"/>
      <c r="P109" s="2"/>
    </row>
    <row r="110">
      <c r="G110" s="2"/>
      <c r="H110" s="2"/>
      <c r="J110" s="2"/>
      <c r="O110" s="2"/>
      <c r="P110" s="2"/>
    </row>
    <row r="111">
      <c r="F111" s="6" t="s">
        <v>338</v>
      </c>
      <c r="G111" s="8" t="s">
        <v>522</v>
      </c>
      <c r="H111" s="6" t="s">
        <v>340</v>
      </c>
      <c r="I111" s="6" t="s">
        <v>342</v>
      </c>
      <c r="J111" s="2"/>
      <c r="K111" s="30" t="s">
        <v>304</v>
      </c>
      <c r="L111" s="32" t="s">
        <v>306</v>
      </c>
      <c r="M111" s="30" t="s">
        <v>239</v>
      </c>
      <c r="N111" s="34" t="s">
        <v>278</v>
      </c>
      <c r="O111" s="2"/>
      <c r="P111" s="2"/>
    </row>
    <row r="112">
      <c r="G112" s="2"/>
      <c r="H112" s="2"/>
      <c r="J112" s="2"/>
      <c r="O112" s="2"/>
      <c r="P112" s="2"/>
    </row>
    <row r="113">
      <c r="F113" s="6" t="s">
        <v>348</v>
      </c>
      <c r="G113" s="8" t="s">
        <v>523</v>
      </c>
      <c r="H113" s="6" t="s">
        <v>350</v>
      </c>
      <c r="I113" s="6" t="s">
        <v>45</v>
      </c>
      <c r="J113" s="2"/>
      <c r="K113" s="30" t="s">
        <v>316</v>
      </c>
      <c r="L113" s="145" t="s">
        <v>317</v>
      </c>
      <c r="M113" s="30" t="s">
        <v>239</v>
      </c>
      <c r="N113" s="34" t="s">
        <v>325</v>
      </c>
      <c r="O113" s="2"/>
      <c r="P113" s="2"/>
    </row>
    <row r="114">
      <c r="H114" s="2"/>
      <c r="J114" s="2"/>
      <c r="L114" s="2"/>
      <c r="M114" s="2"/>
      <c r="N114" s="2"/>
      <c r="O114" s="2"/>
      <c r="P114" s="2"/>
    </row>
    <row r="115">
      <c r="E115" s="217"/>
      <c r="F115" s="24" t="s">
        <v>354</v>
      </c>
      <c r="G115" s="229" t="s">
        <v>524</v>
      </c>
      <c r="H115" s="230" t="s">
        <v>359</v>
      </c>
      <c r="J115" s="2"/>
      <c r="K115" s="30" t="s">
        <v>372</v>
      </c>
      <c r="L115" s="32" t="s">
        <v>373</v>
      </c>
      <c r="M115" s="30" t="s">
        <v>239</v>
      </c>
      <c r="N115" s="34" t="s">
        <v>374</v>
      </c>
      <c r="O115" s="2"/>
      <c r="P115" s="2"/>
    </row>
    <row r="116">
      <c r="H116" s="2"/>
      <c r="J116" s="2"/>
      <c r="O116" s="2"/>
      <c r="P116" s="2"/>
    </row>
    <row r="117">
      <c r="E117" s="217"/>
      <c r="F117" s="24" t="s">
        <v>347</v>
      </c>
      <c r="G117" s="231" t="s">
        <v>526</v>
      </c>
      <c r="H117" s="230" t="s">
        <v>366</v>
      </c>
      <c r="J117" s="2"/>
      <c r="K117" s="30" t="s">
        <v>384</v>
      </c>
      <c r="L117" s="32" t="s">
        <v>385</v>
      </c>
      <c r="M117" s="30" t="s">
        <v>239</v>
      </c>
      <c r="N117" s="34" t="s">
        <v>386</v>
      </c>
      <c r="O117" s="2"/>
      <c r="P117" s="2"/>
    </row>
    <row r="118">
      <c r="H118" s="2"/>
      <c r="J118" s="2"/>
      <c r="O118" s="2"/>
      <c r="P118" s="2"/>
    </row>
    <row r="119">
      <c r="H119" s="2"/>
      <c r="J119" s="2"/>
      <c r="K119" s="30" t="s">
        <v>212</v>
      </c>
      <c r="L119" s="107" t="s">
        <v>214</v>
      </c>
      <c r="M119" s="33" t="s">
        <v>61</v>
      </c>
      <c r="N119" s="34" t="s">
        <v>217</v>
      </c>
      <c r="O119" s="2"/>
      <c r="P119" s="2"/>
    </row>
    <row r="120">
      <c r="H120" s="2"/>
      <c r="J120" s="2"/>
      <c r="O120" s="2"/>
      <c r="P120" s="2"/>
    </row>
    <row r="121">
      <c r="H121" s="2"/>
      <c r="J121" s="2"/>
      <c r="O121" s="2"/>
      <c r="P121" s="2"/>
    </row>
    <row r="122">
      <c r="H122" s="2"/>
      <c r="J122" s="2"/>
      <c r="O122" s="2"/>
      <c r="P122" s="2"/>
    </row>
    <row r="123">
      <c r="H123" s="2"/>
      <c r="J123" s="2"/>
      <c r="P123" s="2"/>
    </row>
    <row r="124">
      <c r="H124" s="2"/>
      <c r="J124" s="2"/>
      <c r="P124" s="2"/>
    </row>
    <row r="125">
      <c r="H125" s="2"/>
      <c r="J125" s="2"/>
      <c r="L125" s="2"/>
      <c r="M125" s="2"/>
      <c r="N125" s="2"/>
      <c r="O125" s="2"/>
      <c r="P125" s="2"/>
    </row>
    <row r="126">
      <c r="H126" s="2"/>
      <c r="J126" s="2"/>
      <c r="L126" s="2"/>
      <c r="M126" s="2"/>
      <c r="N126" s="2"/>
      <c r="O126" s="2"/>
      <c r="P126" s="2"/>
    </row>
    <row r="127">
      <c r="H127" s="2"/>
      <c r="J127" s="2"/>
      <c r="L127" s="2"/>
      <c r="M127" s="2"/>
      <c r="N127" s="2"/>
      <c r="O127" s="2"/>
      <c r="P127" s="2"/>
    </row>
    <row r="128">
      <c r="H128" s="2"/>
      <c r="J128" s="2"/>
      <c r="L128" s="2"/>
      <c r="M128" s="2"/>
      <c r="N128" s="2"/>
      <c r="O128" s="2"/>
      <c r="P128" s="2"/>
    </row>
    <row r="129">
      <c r="H129" s="2"/>
      <c r="J129" s="2"/>
      <c r="L129" s="2"/>
      <c r="M129" s="2"/>
      <c r="N129" s="2"/>
      <c r="O129" s="2"/>
      <c r="P129" s="2"/>
    </row>
    <row r="130">
      <c r="G130" s="2"/>
      <c r="H130" s="2"/>
      <c r="J130" s="2"/>
      <c r="L130" s="2"/>
      <c r="M130" s="2"/>
      <c r="N130" s="2"/>
      <c r="O130" s="2"/>
      <c r="P130" s="2"/>
    </row>
    <row r="131">
      <c r="G131" s="2"/>
      <c r="H131" s="2"/>
      <c r="J131" s="2"/>
      <c r="L131" s="2"/>
      <c r="M131" s="2"/>
      <c r="N131" s="2"/>
      <c r="O131" s="2"/>
      <c r="P131" s="2"/>
    </row>
    <row r="132">
      <c r="G132" s="2"/>
      <c r="H132" s="2"/>
      <c r="J132" s="2"/>
      <c r="L132" s="2"/>
      <c r="M132" s="2"/>
      <c r="N132" s="2"/>
      <c r="O132" s="2"/>
      <c r="P132" s="2"/>
    </row>
    <row r="133">
      <c r="G133" s="2"/>
      <c r="H133" s="2"/>
      <c r="J133" s="2"/>
      <c r="L133" s="2"/>
      <c r="M133" s="2"/>
      <c r="N133" s="2"/>
      <c r="O133" s="2"/>
      <c r="P133" s="2"/>
    </row>
    <row r="134">
      <c r="G134" s="2"/>
      <c r="H134" s="2"/>
      <c r="J134" s="2"/>
      <c r="L134" s="2"/>
      <c r="M134" s="2"/>
      <c r="N134" s="2"/>
      <c r="O134" s="2"/>
      <c r="P134" s="2"/>
    </row>
    <row r="135">
      <c r="G135" s="2"/>
      <c r="H135" s="2"/>
      <c r="J135" s="2"/>
      <c r="L135" s="2"/>
      <c r="M135" s="2"/>
      <c r="N135" s="2"/>
      <c r="O135" s="2"/>
      <c r="P135" s="2"/>
    </row>
    <row r="136">
      <c r="G136" s="2"/>
      <c r="H136" s="2"/>
      <c r="J136" s="2"/>
      <c r="L136" s="2"/>
      <c r="M136" s="2"/>
      <c r="N136" s="2"/>
      <c r="O136" s="2"/>
      <c r="P136" s="2"/>
    </row>
    <row r="137">
      <c r="G137" s="2"/>
      <c r="H137" s="2"/>
      <c r="J137" s="2"/>
      <c r="L137" s="2"/>
      <c r="M137" s="2"/>
      <c r="N137" s="2"/>
      <c r="O137" s="2"/>
      <c r="P137" s="2"/>
    </row>
    <row r="138">
      <c r="G138" s="2"/>
      <c r="H138" s="2"/>
      <c r="J138" s="2"/>
      <c r="L138" s="2"/>
      <c r="M138" s="2"/>
      <c r="N138" s="2"/>
      <c r="O138" s="2"/>
      <c r="P138" s="2"/>
    </row>
    <row r="139">
      <c r="G139" s="2"/>
      <c r="H139" s="2"/>
      <c r="J139" s="2"/>
      <c r="L139" s="2"/>
      <c r="M139" s="2"/>
      <c r="N139" s="2"/>
      <c r="O139" s="2"/>
      <c r="P139" s="2"/>
    </row>
    <row r="140">
      <c r="G140" s="2"/>
      <c r="H140" s="2"/>
      <c r="J140" s="2"/>
      <c r="L140" s="2"/>
      <c r="M140" s="2"/>
      <c r="N140" s="2"/>
      <c r="O140" s="2"/>
      <c r="P140" s="2"/>
    </row>
    <row r="141">
      <c r="G141" s="2"/>
      <c r="H141" s="2"/>
      <c r="J141" s="2"/>
      <c r="L141" s="2"/>
      <c r="M141" s="2"/>
      <c r="N141" s="2"/>
      <c r="O141" s="2"/>
      <c r="P141" s="2"/>
    </row>
    <row r="142">
      <c r="G142" s="2"/>
      <c r="H142" s="2"/>
      <c r="J142" s="2"/>
      <c r="L142" s="2"/>
      <c r="M142" s="2"/>
      <c r="N142" s="2"/>
      <c r="O142" s="2"/>
      <c r="P142" s="2"/>
    </row>
    <row r="143">
      <c r="G143" s="2"/>
      <c r="H143" s="2"/>
      <c r="J143" s="2"/>
      <c r="L143" s="2"/>
      <c r="M143" s="2"/>
      <c r="N143" s="2"/>
      <c r="O143" s="2"/>
      <c r="P143" s="2"/>
    </row>
    <row r="144">
      <c r="G144" s="2"/>
      <c r="H144" s="2"/>
      <c r="J144" s="2"/>
      <c r="L144" s="2"/>
      <c r="M144" s="2"/>
      <c r="N144" s="2"/>
      <c r="O144" s="2"/>
      <c r="P144" s="2"/>
    </row>
    <row r="145">
      <c r="G145" s="2"/>
      <c r="H145" s="2"/>
      <c r="J145" s="2"/>
      <c r="L145" s="2"/>
      <c r="M145" s="2"/>
      <c r="N145" s="2"/>
      <c r="O145" s="2"/>
      <c r="P145" s="2"/>
    </row>
    <row r="146">
      <c r="G146" s="2"/>
      <c r="H146" s="2"/>
      <c r="J146" s="2"/>
      <c r="L146" s="2"/>
      <c r="M146" s="2"/>
      <c r="N146" s="2"/>
      <c r="O146" s="2"/>
      <c r="P146" s="2"/>
    </row>
    <row r="147">
      <c r="G147" s="2"/>
      <c r="H147" s="2"/>
      <c r="J147" s="2"/>
      <c r="L147" s="2"/>
      <c r="M147" s="2"/>
      <c r="N147" s="2"/>
      <c r="O147" s="2"/>
      <c r="P147" s="2"/>
    </row>
    <row r="148">
      <c r="G148" s="2"/>
      <c r="H148" s="2"/>
      <c r="J148" s="2"/>
      <c r="L148" s="2"/>
      <c r="M148" s="2"/>
      <c r="N148" s="2"/>
      <c r="O148" s="2"/>
      <c r="P148" s="2"/>
    </row>
    <row r="149">
      <c r="G149" s="2"/>
      <c r="H149" s="2"/>
      <c r="J149" s="2"/>
      <c r="L149" s="2"/>
      <c r="M149" s="2"/>
      <c r="N149" s="2"/>
      <c r="O149" s="2"/>
      <c r="P149" s="2"/>
    </row>
    <row r="150">
      <c r="G150" s="2"/>
      <c r="H150" s="2"/>
      <c r="J150" s="2"/>
      <c r="L150" s="2"/>
      <c r="M150" s="2"/>
      <c r="N150" s="2"/>
      <c r="O150" s="2"/>
      <c r="P150" s="2"/>
    </row>
    <row r="151">
      <c r="G151" s="2"/>
      <c r="H151" s="2"/>
      <c r="J151" s="2"/>
      <c r="L151" s="2"/>
      <c r="M151" s="2"/>
      <c r="N151" s="2"/>
      <c r="O151" s="2"/>
      <c r="P151" s="2"/>
    </row>
    <row r="152">
      <c r="G152" s="2"/>
      <c r="H152" s="2"/>
      <c r="J152" s="2"/>
      <c r="L152" s="2"/>
      <c r="M152" s="2"/>
      <c r="N152" s="2"/>
      <c r="O152" s="2"/>
      <c r="P152" s="2"/>
    </row>
    <row r="153">
      <c r="G153" s="2"/>
      <c r="H153" s="2"/>
      <c r="J153" s="2"/>
      <c r="L153" s="2"/>
      <c r="M153" s="2"/>
      <c r="N153" s="2"/>
      <c r="O153" s="2"/>
      <c r="P153" s="2"/>
    </row>
    <row r="154">
      <c r="G154" s="2"/>
      <c r="H154" s="2"/>
      <c r="J154" s="2"/>
      <c r="L154" s="2"/>
      <c r="M154" s="2"/>
      <c r="N154" s="2"/>
      <c r="O154" s="2"/>
      <c r="P154" s="2"/>
    </row>
    <row r="155">
      <c r="G155" s="2"/>
      <c r="H155" s="2"/>
      <c r="J155" s="2"/>
      <c r="L155" s="2"/>
      <c r="M155" s="2"/>
      <c r="N155" s="2"/>
      <c r="O155" s="2"/>
      <c r="P155" s="2"/>
    </row>
    <row r="156">
      <c r="G156" s="2"/>
      <c r="H156" s="2"/>
      <c r="J156" s="2"/>
      <c r="L156" s="2"/>
      <c r="M156" s="2"/>
      <c r="N156" s="2"/>
      <c r="O156" s="2"/>
      <c r="P156" s="2"/>
    </row>
    <row r="157">
      <c r="G157" s="2"/>
      <c r="H157" s="2"/>
      <c r="J157" s="2"/>
      <c r="L157" s="2"/>
      <c r="M157" s="2"/>
      <c r="N157" s="2"/>
      <c r="O157" s="2"/>
      <c r="P157" s="2"/>
    </row>
    <row r="158">
      <c r="G158" s="2"/>
      <c r="H158" s="2"/>
      <c r="J158" s="2"/>
      <c r="L158" s="2"/>
      <c r="M158" s="2"/>
      <c r="N158" s="2"/>
      <c r="O158" s="2"/>
      <c r="P158" s="2"/>
    </row>
    <row r="159">
      <c r="G159" s="2"/>
      <c r="H159" s="2"/>
      <c r="J159" s="2"/>
      <c r="L159" s="2"/>
      <c r="M159" s="2"/>
      <c r="N159" s="2"/>
      <c r="O159" s="2"/>
      <c r="P159" s="2"/>
    </row>
    <row r="160">
      <c r="G160" s="2"/>
      <c r="H160" s="2"/>
      <c r="J160" s="2"/>
      <c r="L160" s="2"/>
      <c r="M160" s="2"/>
      <c r="N160" s="2"/>
      <c r="O160" s="2"/>
      <c r="P160" s="2"/>
    </row>
    <row r="161">
      <c r="G161" s="2"/>
      <c r="H161" s="2"/>
      <c r="J161" s="2"/>
      <c r="L161" s="2"/>
      <c r="M161" s="2"/>
      <c r="N161" s="2"/>
      <c r="O161" s="2"/>
      <c r="P161" s="2"/>
    </row>
    <row r="162">
      <c r="G162" s="2"/>
      <c r="H162" s="2"/>
      <c r="J162" s="2"/>
      <c r="L162" s="2"/>
      <c r="M162" s="2"/>
      <c r="N162" s="2"/>
      <c r="O162" s="2"/>
      <c r="P162" s="2"/>
    </row>
    <row r="163">
      <c r="G163" s="2"/>
      <c r="H163" s="2"/>
      <c r="J163" s="2"/>
      <c r="L163" s="2"/>
      <c r="M163" s="2"/>
      <c r="N163" s="2"/>
      <c r="O163" s="2"/>
      <c r="P163" s="2"/>
    </row>
    <row r="164">
      <c r="G164" s="2"/>
      <c r="H164" s="2"/>
      <c r="J164" s="2"/>
      <c r="L164" s="2"/>
      <c r="M164" s="2"/>
      <c r="N164" s="2"/>
      <c r="O164" s="2"/>
      <c r="P164" s="2"/>
    </row>
    <row r="165">
      <c r="G165" s="2"/>
      <c r="H165" s="2"/>
      <c r="J165" s="2"/>
      <c r="L165" s="2"/>
      <c r="M165" s="2"/>
      <c r="N165" s="2"/>
      <c r="O165" s="2"/>
      <c r="P165" s="2"/>
    </row>
    <row r="166">
      <c r="G166" s="2"/>
      <c r="H166" s="2"/>
      <c r="J166" s="2"/>
      <c r="L166" s="2"/>
      <c r="M166" s="2"/>
      <c r="N166" s="2"/>
      <c r="O166" s="2"/>
      <c r="P166" s="2"/>
    </row>
    <row r="167">
      <c r="G167" s="2"/>
      <c r="H167" s="2"/>
      <c r="J167" s="2"/>
      <c r="L167" s="2"/>
      <c r="M167" s="2"/>
      <c r="N167" s="2"/>
      <c r="O167" s="2"/>
      <c r="P167" s="2"/>
    </row>
    <row r="168">
      <c r="G168" s="2"/>
      <c r="H168" s="2"/>
      <c r="J168" s="2"/>
      <c r="L168" s="2"/>
      <c r="M168" s="2"/>
      <c r="N168" s="2"/>
      <c r="O168" s="2"/>
      <c r="P168" s="2"/>
    </row>
    <row r="169">
      <c r="G169" s="2"/>
      <c r="H169" s="2"/>
      <c r="J169" s="2"/>
      <c r="L169" s="2"/>
      <c r="M169" s="2"/>
      <c r="N169" s="2"/>
      <c r="O169" s="2"/>
      <c r="P169" s="2"/>
    </row>
    <row r="170">
      <c r="G170" s="2"/>
      <c r="H170" s="2"/>
      <c r="J170" s="2"/>
      <c r="L170" s="2"/>
      <c r="M170" s="2"/>
      <c r="N170" s="2"/>
      <c r="O170" s="2"/>
      <c r="P170" s="2"/>
    </row>
    <row r="171">
      <c r="G171" s="2"/>
      <c r="H171" s="2"/>
      <c r="J171" s="2"/>
      <c r="L171" s="2"/>
      <c r="M171" s="2"/>
      <c r="N171" s="2"/>
      <c r="O171" s="2"/>
      <c r="P171" s="2"/>
    </row>
    <row r="172">
      <c r="G172" s="2"/>
      <c r="H172" s="2"/>
      <c r="J172" s="2"/>
      <c r="L172" s="2"/>
      <c r="M172" s="2"/>
      <c r="N172" s="2"/>
      <c r="O172" s="2"/>
      <c r="P172" s="2"/>
    </row>
    <row r="173">
      <c r="G173" s="2"/>
      <c r="H173" s="2"/>
      <c r="J173" s="2"/>
      <c r="L173" s="2"/>
      <c r="M173" s="2"/>
      <c r="N173" s="2"/>
      <c r="O173" s="2"/>
      <c r="P173" s="2"/>
    </row>
    <row r="174">
      <c r="G174" s="2"/>
      <c r="H174" s="2"/>
      <c r="J174" s="2"/>
      <c r="L174" s="2"/>
      <c r="M174" s="2"/>
      <c r="N174" s="2"/>
      <c r="O174" s="2"/>
      <c r="P174" s="2"/>
    </row>
    <row r="175">
      <c r="G175" s="2"/>
      <c r="H175" s="2"/>
      <c r="J175" s="2"/>
      <c r="L175" s="2"/>
      <c r="M175" s="2"/>
      <c r="N175" s="2"/>
      <c r="O175" s="2"/>
      <c r="P175" s="2"/>
    </row>
    <row r="176">
      <c r="G176" s="2"/>
      <c r="H176" s="2"/>
      <c r="J176" s="2"/>
      <c r="L176" s="2"/>
      <c r="M176" s="2"/>
      <c r="N176" s="2"/>
      <c r="O176" s="2"/>
      <c r="P176" s="2"/>
    </row>
    <row r="177">
      <c r="G177" s="2"/>
      <c r="H177" s="2"/>
      <c r="J177" s="2"/>
      <c r="L177" s="2"/>
      <c r="M177" s="2"/>
      <c r="N177" s="2"/>
      <c r="O177" s="2"/>
      <c r="P177" s="2"/>
    </row>
    <row r="178">
      <c r="G178" s="2"/>
      <c r="H178" s="2"/>
      <c r="J178" s="2"/>
      <c r="L178" s="2"/>
      <c r="M178" s="2"/>
      <c r="N178" s="2"/>
      <c r="O178" s="2"/>
      <c r="P178" s="2"/>
    </row>
    <row r="179">
      <c r="G179" s="2"/>
      <c r="H179" s="2"/>
      <c r="J179" s="2"/>
      <c r="L179" s="2"/>
      <c r="M179" s="2"/>
      <c r="N179" s="2"/>
      <c r="O179" s="2"/>
      <c r="P179" s="2"/>
    </row>
    <row r="180">
      <c r="G180" s="2"/>
      <c r="H180" s="2"/>
      <c r="J180" s="2"/>
      <c r="L180" s="2"/>
      <c r="M180" s="2"/>
      <c r="N180" s="2"/>
      <c r="O180" s="2"/>
      <c r="P180" s="2"/>
    </row>
    <row r="181">
      <c r="G181" s="2"/>
      <c r="H181" s="2"/>
      <c r="J181" s="2"/>
      <c r="L181" s="2"/>
      <c r="M181" s="2"/>
      <c r="N181" s="2"/>
      <c r="O181" s="2"/>
      <c r="P181" s="2"/>
    </row>
    <row r="182">
      <c r="G182" s="2"/>
      <c r="H182" s="2"/>
      <c r="J182" s="2"/>
      <c r="L182" s="2"/>
      <c r="M182" s="2"/>
      <c r="N182" s="2"/>
      <c r="O182" s="2"/>
      <c r="P182" s="2"/>
    </row>
    <row r="183">
      <c r="G183" s="2"/>
      <c r="H183" s="2"/>
      <c r="J183" s="2"/>
      <c r="L183" s="2"/>
      <c r="M183" s="2"/>
      <c r="N183" s="2"/>
      <c r="O183" s="2"/>
      <c r="P183" s="2"/>
    </row>
    <row r="184">
      <c r="G184" s="2"/>
      <c r="H184" s="2"/>
      <c r="J184" s="2"/>
      <c r="L184" s="2"/>
      <c r="M184" s="2"/>
      <c r="N184" s="2"/>
      <c r="O184" s="2"/>
      <c r="P184" s="2"/>
    </row>
    <row r="185">
      <c r="G185" s="2"/>
      <c r="H185" s="2"/>
      <c r="J185" s="2"/>
      <c r="L185" s="2"/>
      <c r="M185" s="2"/>
      <c r="N185" s="2"/>
      <c r="O185" s="2"/>
      <c r="P185" s="2"/>
    </row>
    <row r="186">
      <c r="G186" s="2"/>
      <c r="H186" s="2"/>
      <c r="J186" s="2"/>
      <c r="L186" s="2"/>
      <c r="M186" s="2"/>
      <c r="N186" s="2"/>
      <c r="O186" s="2"/>
      <c r="P186" s="2"/>
    </row>
    <row r="187">
      <c r="G187" s="2"/>
      <c r="H187" s="2"/>
      <c r="J187" s="2"/>
      <c r="L187" s="2"/>
      <c r="M187" s="2"/>
      <c r="N187" s="2"/>
      <c r="O187" s="2"/>
      <c r="P187" s="2"/>
    </row>
    <row r="188">
      <c r="G188" s="2"/>
      <c r="H188" s="2"/>
      <c r="J188" s="2"/>
      <c r="L188" s="2"/>
      <c r="M188" s="2"/>
      <c r="N188" s="2"/>
      <c r="O188" s="2"/>
      <c r="P188" s="2"/>
    </row>
    <row r="189">
      <c r="G189" s="2"/>
      <c r="H189" s="2"/>
      <c r="J189" s="2"/>
      <c r="L189" s="2"/>
      <c r="M189" s="2"/>
      <c r="N189" s="2"/>
      <c r="O189" s="2"/>
      <c r="P189" s="2"/>
    </row>
    <row r="190">
      <c r="G190" s="2"/>
      <c r="H190" s="2"/>
      <c r="J190" s="2"/>
      <c r="L190" s="2"/>
      <c r="M190" s="2"/>
      <c r="N190" s="2"/>
      <c r="O190" s="2"/>
      <c r="P190" s="2"/>
    </row>
    <row r="191">
      <c r="G191" s="2"/>
      <c r="H191" s="2"/>
      <c r="J191" s="2"/>
      <c r="L191" s="2"/>
      <c r="M191" s="2"/>
      <c r="N191" s="2"/>
      <c r="O191" s="2"/>
      <c r="P191" s="2"/>
    </row>
    <row r="192">
      <c r="G192" s="2"/>
      <c r="H192" s="2"/>
      <c r="J192" s="2"/>
      <c r="L192" s="2"/>
      <c r="M192" s="2"/>
      <c r="N192" s="2"/>
      <c r="O192" s="2"/>
      <c r="P192" s="2"/>
    </row>
    <row r="193">
      <c r="G193" s="2"/>
      <c r="H193" s="2"/>
      <c r="J193" s="2"/>
      <c r="L193" s="2"/>
      <c r="M193" s="2"/>
      <c r="N193" s="2"/>
      <c r="O193" s="2"/>
      <c r="P193" s="2"/>
    </row>
    <row r="194">
      <c r="G194" s="2"/>
      <c r="H194" s="2"/>
      <c r="J194" s="2"/>
      <c r="L194" s="2"/>
      <c r="M194" s="2"/>
      <c r="N194" s="2"/>
      <c r="O194" s="2"/>
      <c r="P194" s="2"/>
    </row>
    <row r="195">
      <c r="G195" s="2"/>
      <c r="H195" s="2"/>
      <c r="J195" s="2"/>
      <c r="L195" s="2"/>
      <c r="M195" s="2"/>
      <c r="N195" s="2"/>
      <c r="O195" s="2"/>
      <c r="P195" s="2"/>
    </row>
    <row r="196">
      <c r="G196" s="2"/>
      <c r="H196" s="2"/>
      <c r="J196" s="2"/>
      <c r="L196" s="2"/>
      <c r="M196" s="2"/>
      <c r="N196" s="2"/>
      <c r="O196" s="2"/>
      <c r="P196" s="2"/>
    </row>
    <row r="197">
      <c r="G197" s="2"/>
      <c r="H197" s="2"/>
      <c r="J197" s="2"/>
      <c r="L197" s="2"/>
      <c r="M197" s="2"/>
      <c r="N197" s="2"/>
      <c r="O197" s="2"/>
      <c r="P197" s="2"/>
    </row>
    <row r="198">
      <c r="G198" s="2"/>
      <c r="H198" s="2"/>
      <c r="J198" s="2"/>
      <c r="L198" s="2"/>
      <c r="M198" s="2"/>
      <c r="N198" s="2"/>
      <c r="O198" s="2"/>
      <c r="P198" s="2"/>
    </row>
    <row r="199">
      <c r="G199" s="2"/>
      <c r="H199" s="2"/>
      <c r="J199" s="2"/>
      <c r="L199" s="2"/>
      <c r="M199" s="2"/>
      <c r="N199" s="2"/>
      <c r="O199" s="2"/>
      <c r="P199" s="2"/>
    </row>
    <row r="200">
      <c r="G200" s="2"/>
      <c r="H200" s="2"/>
      <c r="J200" s="2"/>
      <c r="L200" s="2"/>
      <c r="M200" s="2"/>
      <c r="N200" s="2"/>
      <c r="O200" s="2"/>
      <c r="P200" s="2"/>
    </row>
    <row r="201">
      <c r="G201" s="2"/>
      <c r="H201" s="2"/>
      <c r="J201" s="2"/>
      <c r="L201" s="2"/>
      <c r="M201" s="2"/>
      <c r="N201" s="2"/>
      <c r="O201" s="2"/>
      <c r="P201" s="2"/>
    </row>
    <row r="202">
      <c r="G202" s="2"/>
      <c r="H202" s="2"/>
      <c r="J202" s="2"/>
      <c r="L202" s="2"/>
      <c r="M202" s="2"/>
      <c r="N202" s="2"/>
      <c r="O202" s="2"/>
      <c r="P202" s="2"/>
    </row>
    <row r="203">
      <c r="G203" s="2"/>
      <c r="H203" s="2"/>
      <c r="J203" s="2"/>
      <c r="L203" s="2"/>
      <c r="M203" s="2"/>
      <c r="N203" s="2"/>
      <c r="O203" s="2"/>
      <c r="P203" s="2"/>
    </row>
    <row r="204">
      <c r="G204" s="2"/>
      <c r="H204" s="2"/>
      <c r="J204" s="2"/>
      <c r="L204" s="2"/>
      <c r="M204" s="2"/>
      <c r="N204" s="2"/>
      <c r="O204" s="2"/>
      <c r="P204" s="2"/>
    </row>
    <row r="205">
      <c r="G205" s="2"/>
      <c r="H205" s="2"/>
      <c r="J205" s="2"/>
      <c r="L205" s="2"/>
      <c r="M205" s="2"/>
      <c r="N205" s="2"/>
      <c r="O205" s="2"/>
      <c r="P205" s="2"/>
    </row>
    <row r="206">
      <c r="G206" s="2"/>
      <c r="H206" s="2"/>
      <c r="J206" s="2"/>
      <c r="L206" s="2"/>
      <c r="M206" s="2"/>
      <c r="N206" s="2"/>
      <c r="O206" s="2"/>
      <c r="P206" s="2"/>
    </row>
    <row r="207">
      <c r="G207" s="2"/>
      <c r="H207" s="2"/>
      <c r="J207" s="2"/>
      <c r="L207" s="2"/>
      <c r="M207" s="2"/>
      <c r="N207" s="2"/>
      <c r="O207" s="2"/>
      <c r="P207" s="2"/>
    </row>
    <row r="208">
      <c r="G208" s="2"/>
      <c r="H208" s="2"/>
      <c r="J208" s="2"/>
      <c r="L208" s="2"/>
      <c r="M208" s="2"/>
      <c r="N208" s="2"/>
      <c r="O208" s="2"/>
      <c r="P208" s="2"/>
    </row>
    <row r="209">
      <c r="G209" s="2"/>
      <c r="H209" s="2"/>
      <c r="J209" s="2"/>
      <c r="L209" s="2"/>
      <c r="M209" s="2"/>
      <c r="N209" s="2"/>
      <c r="O209" s="2"/>
      <c r="P209" s="2"/>
    </row>
    <row r="210">
      <c r="G210" s="2"/>
      <c r="H210" s="2"/>
      <c r="J210" s="2"/>
      <c r="L210" s="2"/>
      <c r="M210" s="2"/>
      <c r="N210" s="2"/>
      <c r="O210" s="2"/>
      <c r="P210" s="2"/>
    </row>
    <row r="211">
      <c r="G211" s="2"/>
      <c r="H211" s="2"/>
      <c r="J211" s="2"/>
      <c r="L211" s="2"/>
      <c r="M211" s="2"/>
      <c r="N211" s="2"/>
      <c r="O211" s="2"/>
      <c r="P211" s="2"/>
    </row>
    <row r="212">
      <c r="G212" s="2"/>
      <c r="H212" s="2"/>
      <c r="J212" s="2"/>
      <c r="L212" s="2"/>
      <c r="M212" s="2"/>
      <c r="N212" s="2"/>
      <c r="O212" s="2"/>
      <c r="P212" s="2"/>
    </row>
    <row r="213">
      <c r="G213" s="2"/>
      <c r="H213" s="2"/>
      <c r="J213" s="2"/>
      <c r="L213" s="2"/>
      <c r="M213" s="2"/>
      <c r="N213" s="2"/>
      <c r="O213" s="2"/>
      <c r="P213" s="2"/>
    </row>
    <row r="214">
      <c r="G214" s="2"/>
      <c r="H214" s="2"/>
      <c r="J214" s="2"/>
      <c r="L214" s="2"/>
      <c r="M214" s="2"/>
      <c r="N214" s="2"/>
      <c r="O214" s="2"/>
      <c r="P214" s="2"/>
    </row>
    <row r="215">
      <c r="G215" s="2"/>
      <c r="H215" s="2"/>
      <c r="J215" s="2"/>
      <c r="L215" s="2"/>
      <c r="M215" s="2"/>
      <c r="N215" s="2"/>
      <c r="O215" s="2"/>
      <c r="P215" s="2"/>
    </row>
    <row r="216">
      <c r="G216" s="2"/>
      <c r="H216" s="2"/>
      <c r="J216" s="2"/>
      <c r="L216" s="2"/>
      <c r="M216" s="2"/>
      <c r="N216" s="2"/>
      <c r="O216" s="2"/>
      <c r="P216" s="2"/>
    </row>
    <row r="217">
      <c r="G217" s="2"/>
      <c r="H217" s="2"/>
      <c r="J217" s="2"/>
      <c r="L217" s="2"/>
      <c r="M217" s="2"/>
      <c r="N217" s="2"/>
      <c r="O217" s="2"/>
      <c r="P217" s="2"/>
    </row>
    <row r="218">
      <c r="G218" s="2"/>
      <c r="H218" s="2"/>
      <c r="J218" s="2"/>
      <c r="L218" s="2"/>
      <c r="M218" s="2"/>
      <c r="N218" s="2"/>
      <c r="O218" s="2"/>
      <c r="P218" s="2"/>
    </row>
    <row r="219">
      <c r="G219" s="2"/>
      <c r="H219" s="2"/>
      <c r="J219" s="2"/>
      <c r="L219" s="2"/>
      <c r="M219" s="2"/>
      <c r="N219" s="2"/>
      <c r="O219" s="2"/>
      <c r="P219" s="2"/>
    </row>
    <row r="220">
      <c r="G220" s="2"/>
      <c r="H220" s="2"/>
      <c r="J220" s="2"/>
      <c r="L220" s="2"/>
      <c r="M220" s="2"/>
      <c r="N220" s="2"/>
      <c r="O220" s="2"/>
      <c r="P220" s="2"/>
    </row>
    <row r="221">
      <c r="G221" s="2"/>
      <c r="H221" s="2"/>
      <c r="J221" s="2"/>
      <c r="L221" s="2"/>
      <c r="M221" s="2"/>
      <c r="N221" s="2"/>
      <c r="O221" s="2"/>
      <c r="P221" s="2"/>
    </row>
    <row r="222">
      <c r="G222" s="2"/>
      <c r="H222" s="2"/>
      <c r="J222" s="2"/>
      <c r="L222" s="2"/>
      <c r="M222" s="2"/>
      <c r="N222" s="2"/>
      <c r="O222" s="2"/>
      <c r="P222" s="2"/>
    </row>
    <row r="223">
      <c r="G223" s="2"/>
      <c r="H223" s="2"/>
      <c r="J223" s="2"/>
      <c r="L223" s="2"/>
      <c r="M223" s="2"/>
      <c r="N223" s="2"/>
      <c r="O223" s="2"/>
      <c r="P223" s="2"/>
    </row>
    <row r="224">
      <c r="G224" s="2"/>
      <c r="H224" s="2"/>
      <c r="J224" s="2"/>
      <c r="L224" s="2"/>
      <c r="M224" s="2"/>
      <c r="N224" s="2"/>
      <c r="O224" s="2"/>
      <c r="P224" s="2"/>
    </row>
    <row r="225">
      <c r="G225" s="2"/>
      <c r="H225" s="2"/>
      <c r="J225" s="2"/>
      <c r="L225" s="2"/>
      <c r="M225" s="2"/>
      <c r="N225" s="2"/>
      <c r="O225" s="2"/>
      <c r="P225" s="2"/>
    </row>
    <row r="226">
      <c r="G226" s="2"/>
      <c r="H226" s="2"/>
      <c r="J226" s="2"/>
      <c r="L226" s="2"/>
      <c r="M226" s="2"/>
      <c r="N226" s="2"/>
      <c r="O226" s="2"/>
      <c r="P226" s="2"/>
    </row>
    <row r="227">
      <c r="G227" s="2"/>
      <c r="H227" s="2"/>
      <c r="J227" s="2"/>
      <c r="L227" s="2"/>
      <c r="M227" s="2"/>
      <c r="N227" s="2"/>
      <c r="O227" s="2"/>
      <c r="P227" s="2"/>
    </row>
    <row r="228">
      <c r="G228" s="2"/>
      <c r="H228" s="2"/>
      <c r="J228" s="2"/>
      <c r="L228" s="2"/>
      <c r="M228" s="2"/>
      <c r="N228" s="2"/>
      <c r="O228" s="2"/>
      <c r="P228" s="2"/>
    </row>
    <row r="229">
      <c r="G229" s="2"/>
      <c r="H229" s="2"/>
      <c r="J229" s="2"/>
      <c r="L229" s="2"/>
      <c r="M229" s="2"/>
      <c r="N229" s="2"/>
      <c r="O229" s="2"/>
      <c r="P229" s="2"/>
    </row>
    <row r="230">
      <c r="G230" s="2"/>
      <c r="H230" s="2"/>
      <c r="J230" s="2"/>
      <c r="L230" s="2"/>
      <c r="M230" s="2"/>
      <c r="N230" s="2"/>
      <c r="O230" s="2"/>
      <c r="P230" s="2"/>
    </row>
    <row r="231">
      <c r="G231" s="2"/>
      <c r="H231" s="2"/>
      <c r="J231" s="2"/>
      <c r="L231" s="2"/>
      <c r="M231" s="2"/>
      <c r="N231" s="2"/>
      <c r="O231" s="2"/>
      <c r="P231" s="2"/>
    </row>
    <row r="232">
      <c r="G232" s="2"/>
      <c r="H232" s="2"/>
      <c r="J232" s="2"/>
      <c r="L232" s="2"/>
      <c r="M232" s="2"/>
      <c r="N232" s="2"/>
      <c r="O232" s="2"/>
      <c r="P232" s="2"/>
    </row>
    <row r="233">
      <c r="G233" s="2"/>
      <c r="H233" s="2"/>
      <c r="J233" s="2"/>
      <c r="L233" s="2"/>
      <c r="M233" s="2"/>
      <c r="N233" s="2"/>
      <c r="O233" s="2"/>
      <c r="P233" s="2"/>
    </row>
    <row r="234">
      <c r="G234" s="2"/>
      <c r="H234" s="2"/>
      <c r="J234" s="2"/>
      <c r="L234" s="2"/>
      <c r="M234" s="2"/>
      <c r="N234" s="2"/>
      <c r="O234" s="2"/>
      <c r="P234" s="2"/>
    </row>
    <row r="235">
      <c r="G235" s="2"/>
      <c r="H235" s="2"/>
      <c r="J235" s="2"/>
      <c r="L235" s="2"/>
      <c r="M235" s="2"/>
      <c r="N235" s="2"/>
      <c r="O235" s="2"/>
      <c r="P235" s="2"/>
    </row>
    <row r="236">
      <c r="G236" s="2"/>
      <c r="H236" s="2"/>
      <c r="J236" s="2"/>
      <c r="L236" s="2"/>
      <c r="M236" s="2"/>
      <c r="N236" s="2"/>
      <c r="O236" s="2"/>
      <c r="P236" s="2"/>
    </row>
    <row r="237">
      <c r="G237" s="2"/>
      <c r="H237" s="2"/>
      <c r="J237" s="2"/>
      <c r="L237" s="2"/>
      <c r="M237" s="2"/>
      <c r="N237" s="2"/>
      <c r="O237" s="2"/>
      <c r="P237" s="2"/>
    </row>
    <row r="238">
      <c r="G238" s="2"/>
      <c r="H238" s="2"/>
      <c r="J238" s="2"/>
      <c r="L238" s="2"/>
      <c r="M238" s="2"/>
      <c r="N238" s="2"/>
      <c r="O238" s="2"/>
      <c r="P238" s="2"/>
    </row>
    <row r="239">
      <c r="G239" s="2"/>
      <c r="H239" s="2"/>
      <c r="J239" s="2"/>
      <c r="L239" s="2"/>
      <c r="M239" s="2"/>
      <c r="N239" s="2"/>
      <c r="O239" s="2"/>
      <c r="P239" s="2"/>
    </row>
    <row r="240">
      <c r="G240" s="2"/>
      <c r="H240" s="2"/>
      <c r="J240" s="2"/>
      <c r="L240" s="2"/>
      <c r="M240" s="2"/>
      <c r="N240" s="2"/>
      <c r="O240" s="2"/>
      <c r="P240" s="2"/>
    </row>
    <row r="241">
      <c r="G241" s="2"/>
      <c r="H241" s="2"/>
      <c r="J241" s="2"/>
      <c r="L241" s="2"/>
      <c r="M241" s="2"/>
      <c r="N241" s="2"/>
      <c r="O241" s="2"/>
      <c r="P241" s="2"/>
    </row>
    <row r="242">
      <c r="G242" s="2"/>
      <c r="H242" s="2"/>
      <c r="J242" s="2"/>
      <c r="L242" s="2"/>
      <c r="M242" s="2"/>
      <c r="N242" s="2"/>
      <c r="O242" s="2"/>
      <c r="P242" s="2"/>
    </row>
    <row r="243">
      <c r="G243" s="2"/>
      <c r="H243" s="2"/>
      <c r="J243" s="2"/>
      <c r="L243" s="2"/>
      <c r="M243" s="2"/>
      <c r="N243" s="2"/>
      <c r="O243" s="2"/>
      <c r="P243" s="2"/>
    </row>
    <row r="244">
      <c r="G244" s="2"/>
      <c r="H244" s="2"/>
      <c r="J244" s="2"/>
      <c r="L244" s="2"/>
      <c r="M244" s="2"/>
      <c r="N244" s="2"/>
      <c r="O244" s="2"/>
      <c r="P244" s="2"/>
    </row>
    <row r="245">
      <c r="G245" s="2"/>
      <c r="H245" s="2"/>
      <c r="J245" s="2"/>
      <c r="L245" s="2"/>
      <c r="M245" s="2"/>
      <c r="N245" s="2"/>
      <c r="O245" s="2"/>
      <c r="P245" s="2"/>
    </row>
    <row r="246">
      <c r="G246" s="2"/>
      <c r="H246" s="2"/>
      <c r="J246" s="2"/>
      <c r="L246" s="2"/>
      <c r="M246" s="2"/>
      <c r="N246" s="2"/>
      <c r="O246" s="2"/>
      <c r="P246" s="2"/>
    </row>
    <row r="247">
      <c r="G247" s="2"/>
      <c r="H247" s="2"/>
      <c r="J247" s="2"/>
      <c r="L247" s="2"/>
      <c r="M247" s="2"/>
      <c r="N247" s="2"/>
      <c r="O247" s="2"/>
      <c r="P247" s="2"/>
    </row>
    <row r="248">
      <c r="G248" s="2"/>
      <c r="H248" s="2"/>
      <c r="J248" s="2"/>
      <c r="L248" s="2"/>
      <c r="M248" s="2"/>
      <c r="N248" s="2"/>
      <c r="O248" s="2"/>
      <c r="P248" s="2"/>
    </row>
    <row r="249">
      <c r="G249" s="2"/>
      <c r="H249" s="2"/>
      <c r="J249" s="2"/>
      <c r="L249" s="2"/>
      <c r="M249" s="2"/>
      <c r="N249" s="2"/>
      <c r="O249" s="2"/>
      <c r="P249" s="2"/>
    </row>
    <row r="250">
      <c r="G250" s="2"/>
      <c r="H250" s="2"/>
      <c r="J250" s="2"/>
      <c r="L250" s="2"/>
      <c r="M250" s="2"/>
      <c r="N250" s="2"/>
      <c r="O250" s="2"/>
      <c r="P250" s="2"/>
    </row>
    <row r="251">
      <c r="G251" s="2"/>
      <c r="H251" s="2"/>
      <c r="J251" s="2"/>
      <c r="L251" s="2"/>
      <c r="M251" s="2"/>
      <c r="N251" s="2"/>
      <c r="O251" s="2"/>
      <c r="P251" s="2"/>
    </row>
    <row r="252">
      <c r="G252" s="2"/>
      <c r="H252" s="2"/>
      <c r="J252" s="2"/>
      <c r="L252" s="2"/>
      <c r="M252" s="2"/>
      <c r="N252" s="2"/>
      <c r="O252" s="2"/>
      <c r="P252" s="2"/>
    </row>
    <row r="253">
      <c r="G253" s="2"/>
      <c r="H253" s="2"/>
      <c r="J253" s="2"/>
      <c r="L253" s="2"/>
      <c r="M253" s="2"/>
      <c r="N253" s="2"/>
      <c r="O253" s="2"/>
      <c r="P253" s="2"/>
    </row>
    <row r="254">
      <c r="G254" s="2"/>
      <c r="H254" s="2"/>
      <c r="J254" s="2"/>
      <c r="L254" s="2"/>
      <c r="M254" s="2"/>
      <c r="N254" s="2"/>
      <c r="O254" s="2"/>
      <c r="P254" s="2"/>
    </row>
    <row r="255">
      <c r="G255" s="2"/>
      <c r="H255" s="2"/>
      <c r="J255" s="2"/>
      <c r="L255" s="2"/>
      <c r="M255" s="2"/>
      <c r="N255" s="2"/>
      <c r="O255" s="2"/>
      <c r="P255" s="2"/>
    </row>
    <row r="256">
      <c r="G256" s="2"/>
      <c r="H256" s="2"/>
      <c r="J256" s="2"/>
      <c r="L256" s="2"/>
      <c r="M256" s="2"/>
      <c r="N256" s="2"/>
      <c r="O256" s="2"/>
      <c r="P256" s="2"/>
    </row>
    <row r="257">
      <c r="G257" s="2"/>
      <c r="H257" s="2"/>
      <c r="J257" s="2"/>
      <c r="L257" s="2"/>
      <c r="M257" s="2"/>
      <c r="N257" s="2"/>
      <c r="O257" s="2"/>
      <c r="P257" s="2"/>
    </row>
    <row r="258">
      <c r="G258" s="2"/>
      <c r="H258" s="2"/>
      <c r="J258" s="2"/>
      <c r="L258" s="2"/>
      <c r="M258" s="2"/>
      <c r="N258" s="2"/>
      <c r="O258" s="2"/>
      <c r="P258" s="2"/>
    </row>
    <row r="259">
      <c r="G259" s="2"/>
      <c r="H259" s="2"/>
      <c r="J259" s="2"/>
      <c r="L259" s="2"/>
      <c r="M259" s="2"/>
      <c r="N259" s="2"/>
      <c r="O259" s="2"/>
      <c r="P259" s="2"/>
    </row>
    <row r="260">
      <c r="G260" s="2"/>
      <c r="H260" s="2"/>
      <c r="J260" s="2"/>
      <c r="L260" s="2"/>
      <c r="M260" s="2"/>
      <c r="N260" s="2"/>
      <c r="O260" s="2"/>
      <c r="P260" s="2"/>
    </row>
    <row r="261">
      <c r="G261" s="2"/>
      <c r="H261" s="2"/>
      <c r="J261" s="2"/>
      <c r="L261" s="2"/>
      <c r="M261" s="2"/>
      <c r="N261" s="2"/>
      <c r="O261" s="2"/>
      <c r="P261" s="2"/>
    </row>
    <row r="262">
      <c r="G262" s="2"/>
      <c r="H262" s="2"/>
      <c r="J262" s="2"/>
      <c r="L262" s="2"/>
      <c r="M262" s="2"/>
      <c r="N262" s="2"/>
      <c r="O262" s="2"/>
      <c r="P262" s="2"/>
    </row>
    <row r="263">
      <c r="G263" s="2"/>
      <c r="H263" s="2"/>
      <c r="J263" s="2"/>
      <c r="L263" s="2"/>
      <c r="M263" s="2"/>
      <c r="N263" s="2"/>
      <c r="O263" s="2"/>
      <c r="P263" s="2"/>
    </row>
    <row r="264">
      <c r="G264" s="2"/>
      <c r="H264" s="2"/>
      <c r="J264" s="2"/>
      <c r="L264" s="2"/>
      <c r="M264" s="2"/>
      <c r="N264" s="2"/>
      <c r="O264" s="2"/>
      <c r="P264" s="2"/>
    </row>
    <row r="265">
      <c r="G265" s="2"/>
      <c r="H265" s="2"/>
      <c r="J265" s="2"/>
      <c r="L265" s="2"/>
      <c r="M265" s="2"/>
      <c r="N265" s="2"/>
      <c r="O265" s="2"/>
      <c r="P265" s="2"/>
    </row>
    <row r="266">
      <c r="G266" s="2"/>
      <c r="H266" s="2"/>
      <c r="J266" s="2"/>
      <c r="L266" s="2"/>
      <c r="M266" s="2"/>
      <c r="N266" s="2"/>
      <c r="O266" s="2"/>
      <c r="P266" s="2"/>
    </row>
    <row r="267">
      <c r="G267" s="2"/>
      <c r="H267" s="2"/>
      <c r="J267" s="2"/>
      <c r="L267" s="2"/>
      <c r="M267" s="2"/>
      <c r="N267" s="2"/>
      <c r="O267" s="2"/>
      <c r="P267" s="2"/>
    </row>
    <row r="268">
      <c r="G268" s="2"/>
      <c r="H268" s="2"/>
      <c r="J268" s="2"/>
      <c r="L268" s="2"/>
      <c r="M268" s="2"/>
      <c r="N268" s="2"/>
      <c r="O268" s="2"/>
      <c r="P268" s="2"/>
    </row>
    <row r="269">
      <c r="G269" s="2"/>
      <c r="H269" s="2"/>
      <c r="J269" s="2"/>
      <c r="L269" s="2"/>
      <c r="M269" s="2"/>
      <c r="N269" s="2"/>
      <c r="O269" s="2"/>
      <c r="P269" s="2"/>
    </row>
    <row r="270">
      <c r="G270" s="2"/>
      <c r="H270" s="2"/>
      <c r="J270" s="2"/>
      <c r="L270" s="2"/>
      <c r="M270" s="2"/>
      <c r="N270" s="2"/>
      <c r="O270" s="2"/>
      <c r="P270" s="2"/>
    </row>
    <row r="271">
      <c r="G271" s="2"/>
      <c r="H271" s="2"/>
      <c r="J271" s="2"/>
      <c r="L271" s="2"/>
      <c r="M271" s="2"/>
      <c r="N271" s="2"/>
      <c r="O271" s="2"/>
      <c r="P271" s="2"/>
    </row>
    <row r="272">
      <c r="G272" s="2"/>
      <c r="H272" s="2"/>
      <c r="J272" s="2"/>
      <c r="L272" s="2"/>
      <c r="M272" s="2"/>
      <c r="N272" s="2"/>
      <c r="O272" s="2"/>
      <c r="P272" s="2"/>
    </row>
    <row r="273">
      <c r="G273" s="2"/>
      <c r="H273" s="2"/>
      <c r="J273" s="2"/>
      <c r="L273" s="2"/>
      <c r="M273" s="2"/>
      <c r="N273" s="2"/>
      <c r="O273" s="2"/>
      <c r="P273" s="2"/>
    </row>
    <row r="274">
      <c r="G274" s="2"/>
      <c r="H274" s="2"/>
      <c r="J274" s="2"/>
      <c r="L274" s="2"/>
      <c r="M274" s="2"/>
      <c r="N274" s="2"/>
      <c r="O274" s="2"/>
      <c r="P274" s="2"/>
    </row>
    <row r="275">
      <c r="G275" s="2"/>
      <c r="H275" s="2"/>
      <c r="J275" s="2"/>
      <c r="L275" s="2"/>
      <c r="M275" s="2"/>
      <c r="N275" s="2"/>
      <c r="O275" s="2"/>
      <c r="P275" s="2"/>
    </row>
    <row r="276">
      <c r="G276" s="2"/>
      <c r="H276" s="2"/>
      <c r="J276" s="2"/>
      <c r="L276" s="2"/>
      <c r="M276" s="2"/>
      <c r="N276" s="2"/>
      <c r="O276" s="2"/>
      <c r="P276" s="2"/>
    </row>
    <row r="277">
      <c r="G277" s="2"/>
      <c r="H277" s="2"/>
      <c r="J277" s="2"/>
      <c r="L277" s="2"/>
      <c r="M277" s="2"/>
      <c r="N277" s="2"/>
      <c r="O277" s="2"/>
      <c r="P277" s="2"/>
    </row>
    <row r="278">
      <c r="G278" s="2"/>
      <c r="H278" s="2"/>
      <c r="J278" s="2"/>
      <c r="L278" s="2"/>
      <c r="M278" s="2"/>
      <c r="N278" s="2"/>
      <c r="O278" s="2"/>
      <c r="P278" s="2"/>
    </row>
    <row r="279">
      <c r="G279" s="2"/>
      <c r="H279" s="2"/>
      <c r="J279" s="2"/>
      <c r="L279" s="2"/>
      <c r="M279" s="2"/>
      <c r="N279" s="2"/>
      <c r="O279" s="2"/>
      <c r="P279" s="2"/>
    </row>
    <row r="280">
      <c r="G280" s="2"/>
      <c r="H280" s="2"/>
      <c r="J280" s="2"/>
      <c r="L280" s="2"/>
      <c r="M280" s="2"/>
      <c r="N280" s="2"/>
      <c r="O280" s="2"/>
      <c r="P280" s="2"/>
    </row>
    <row r="281">
      <c r="G281" s="2"/>
      <c r="H281" s="2"/>
      <c r="J281" s="2"/>
      <c r="L281" s="2"/>
      <c r="M281" s="2"/>
      <c r="N281" s="2"/>
      <c r="O281" s="2"/>
      <c r="P281" s="2"/>
    </row>
    <row r="282">
      <c r="G282" s="2"/>
      <c r="H282" s="2"/>
      <c r="J282" s="2"/>
      <c r="L282" s="2"/>
      <c r="M282" s="2"/>
      <c r="N282" s="2"/>
      <c r="O282" s="2"/>
      <c r="P282" s="2"/>
    </row>
    <row r="283">
      <c r="G283" s="2"/>
      <c r="H283" s="2"/>
      <c r="J283" s="2"/>
      <c r="L283" s="2"/>
      <c r="M283" s="2"/>
      <c r="N283" s="2"/>
      <c r="O283" s="2"/>
      <c r="P283" s="2"/>
    </row>
    <row r="284">
      <c r="G284" s="2"/>
      <c r="H284" s="2"/>
      <c r="J284" s="2"/>
      <c r="L284" s="2"/>
      <c r="M284" s="2"/>
      <c r="N284" s="2"/>
      <c r="O284" s="2"/>
      <c r="P284" s="2"/>
    </row>
    <row r="285">
      <c r="G285" s="2"/>
      <c r="H285" s="2"/>
      <c r="J285" s="2"/>
      <c r="L285" s="2"/>
      <c r="M285" s="2"/>
      <c r="N285" s="2"/>
      <c r="O285" s="2"/>
      <c r="P285" s="2"/>
    </row>
    <row r="286">
      <c r="G286" s="2"/>
      <c r="H286" s="2"/>
      <c r="J286" s="2"/>
      <c r="L286" s="2"/>
      <c r="M286" s="2"/>
      <c r="N286" s="2"/>
      <c r="O286" s="2"/>
      <c r="P286" s="2"/>
    </row>
    <row r="287">
      <c r="G287" s="2"/>
      <c r="H287" s="2"/>
      <c r="J287" s="2"/>
      <c r="L287" s="2"/>
      <c r="M287" s="2"/>
      <c r="N287" s="2"/>
      <c r="O287" s="2"/>
      <c r="P287" s="2"/>
    </row>
    <row r="288">
      <c r="G288" s="2"/>
      <c r="H288" s="2"/>
      <c r="J288" s="2"/>
      <c r="L288" s="2"/>
      <c r="M288" s="2"/>
      <c r="N288" s="2"/>
      <c r="O288" s="2"/>
      <c r="P288" s="2"/>
    </row>
    <row r="289">
      <c r="G289" s="2"/>
      <c r="H289" s="2"/>
      <c r="J289" s="2"/>
      <c r="L289" s="2"/>
      <c r="M289" s="2"/>
      <c r="N289" s="2"/>
      <c r="O289" s="2"/>
      <c r="P289" s="2"/>
    </row>
    <row r="290">
      <c r="G290" s="2"/>
      <c r="H290" s="2"/>
      <c r="J290" s="2"/>
      <c r="L290" s="2"/>
      <c r="M290" s="2"/>
      <c r="N290" s="2"/>
      <c r="O290" s="2"/>
      <c r="P290" s="2"/>
    </row>
    <row r="291">
      <c r="G291" s="2"/>
      <c r="H291" s="2"/>
      <c r="J291" s="2"/>
      <c r="L291" s="2"/>
      <c r="M291" s="2"/>
      <c r="N291" s="2"/>
      <c r="O291" s="2"/>
      <c r="P291" s="2"/>
    </row>
    <row r="292">
      <c r="G292" s="2"/>
      <c r="H292" s="2"/>
      <c r="J292" s="2"/>
      <c r="L292" s="2"/>
      <c r="M292" s="2"/>
      <c r="N292" s="2"/>
      <c r="O292" s="2"/>
      <c r="P292" s="2"/>
    </row>
    <row r="293">
      <c r="G293" s="2"/>
      <c r="H293" s="2"/>
      <c r="J293" s="2"/>
      <c r="L293" s="2"/>
      <c r="M293" s="2"/>
      <c r="N293" s="2"/>
      <c r="O293" s="2"/>
      <c r="P293" s="2"/>
    </row>
    <row r="294">
      <c r="G294" s="2"/>
      <c r="H294" s="2"/>
      <c r="J294" s="2"/>
      <c r="L294" s="2"/>
      <c r="M294" s="2"/>
      <c r="N294" s="2"/>
      <c r="O294" s="2"/>
      <c r="P294" s="2"/>
    </row>
    <row r="295">
      <c r="G295" s="2"/>
      <c r="H295" s="2"/>
      <c r="J295" s="2"/>
      <c r="L295" s="2"/>
      <c r="M295" s="2"/>
      <c r="N295" s="2"/>
      <c r="O295" s="2"/>
      <c r="P295" s="2"/>
    </row>
    <row r="296">
      <c r="G296" s="2"/>
      <c r="H296" s="2"/>
      <c r="J296" s="2"/>
      <c r="L296" s="2"/>
      <c r="M296" s="2"/>
      <c r="N296" s="2"/>
      <c r="O296" s="2"/>
      <c r="P296" s="2"/>
    </row>
    <row r="297">
      <c r="G297" s="2"/>
      <c r="H297" s="2"/>
      <c r="J297" s="2"/>
      <c r="L297" s="2"/>
      <c r="M297" s="2"/>
      <c r="N297" s="2"/>
      <c r="O297" s="2"/>
      <c r="P297" s="2"/>
    </row>
    <row r="298">
      <c r="G298" s="2"/>
      <c r="H298" s="2"/>
      <c r="J298" s="2"/>
      <c r="L298" s="2"/>
      <c r="M298" s="2"/>
      <c r="N298" s="2"/>
      <c r="O298" s="2"/>
      <c r="P298" s="2"/>
    </row>
    <row r="299">
      <c r="G299" s="2"/>
      <c r="H299" s="2"/>
      <c r="J299" s="2"/>
      <c r="L299" s="2"/>
      <c r="M299" s="2"/>
      <c r="N299" s="2"/>
      <c r="O299" s="2"/>
      <c r="P299" s="2"/>
    </row>
    <row r="300">
      <c r="G300" s="2"/>
      <c r="H300" s="2"/>
      <c r="J300" s="2"/>
      <c r="L300" s="2"/>
      <c r="M300" s="2"/>
      <c r="N300" s="2"/>
      <c r="O300" s="2"/>
      <c r="P300" s="2"/>
    </row>
    <row r="301">
      <c r="G301" s="2"/>
      <c r="H301" s="2"/>
      <c r="J301" s="2"/>
      <c r="L301" s="2"/>
      <c r="M301" s="2"/>
      <c r="N301" s="2"/>
      <c r="O301" s="2"/>
      <c r="P301" s="2"/>
    </row>
    <row r="302">
      <c r="G302" s="2"/>
      <c r="H302" s="2"/>
      <c r="J302" s="2"/>
      <c r="L302" s="2"/>
      <c r="M302" s="2"/>
      <c r="N302" s="2"/>
      <c r="O302" s="2"/>
      <c r="P302" s="2"/>
    </row>
    <row r="303">
      <c r="G303" s="2"/>
      <c r="H303" s="2"/>
      <c r="J303" s="2"/>
      <c r="L303" s="2"/>
      <c r="M303" s="2"/>
      <c r="N303" s="2"/>
      <c r="O303" s="2"/>
      <c r="P303" s="2"/>
    </row>
    <row r="304">
      <c r="G304" s="2"/>
      <c r="H304" s="2"/>
      <c r="J304" s="2"/>
      <c r="L304" s="2"/>
      <c r="M304" s="2"/>
      <c r="N304" s="2"/>
      <c r="O304" s="2"/>
      <c r="P304" s="2"/>
    </row>
    <row r="305">
      <c r="G305" s="2"/>
      <c r="H305" s="2"/>
      <c r="J305" s="2"/>
      <c r="L305" s="2"/>
      <c r="M305" s="2"/>
      <c r="N305" s="2"/>
      <c r="O305" s="2"/>
      <c r="P305" s="2"/>
    </row>
    <row r="306">
      <c r="G306" s="2"/>
      <c r="H306" s="2"/>
      <c r="J306" s="2"/>
      <c r="L306" s="2"/>
      <c r="M306" s="2"/>
      <c r="N306" s="2"/>
      <c r="O306" s="2"/>
      <c r="P306" s="2"/>
    </row>
    <row r="307">
      <c r="G307" s="2"/>
      <c r="H307" s="2"/>
      <c r="J307" s="2"/>
      <c r="L307" s="2"/>
      <c r="M307" s="2"/>
      <c r="N307" s="2"/>
      <c r="O307" s="2"/>
      <c r="P307" s="2"/>
    </row>
    <row r="308">
      <c r="G308" s="2"/>
      <c r="H308" s="2"/>
      <c r="J308" s="2"/>
      <c r="L308" s="2"/>
      <c r="M308" s="2"/>
      <c r="N308" s="2"/>
      <c r="O308" s="2"/>
      <c r="P308" s="2"/>
    </row>
    <row r="309">
      <c r="G309" s="2"/>
      <c r="H309" s="2"/>
      <c r="J309" s="2"/>
      <c r="L309" s="2"/>
      <c r="M309" s="2"/>
      <c r="N309" s="2"/>
      <c r="O309" s="2"/>
      <c r="P309" s="2"/>
    </row>
    <row r="310">
      <c r="G310" s="2"/>
      <c r="H310" s="2"/>
      <c r="J310" s="2"/>
      <c r="L310" s="2"/>
      <c r="M310" s="2"/>
      <c r="N310" s="2"/>
      <c r="O310" s="2"/>
      <c r="P310" s="2"/>
    </row>
    <row r="311">
      <c r="G311" s="2"/>
      <c r="H311" s="2"/>
      <c r="J311" s="2"/>
      <c r="L311" s="2"/>
      <c r="M311" s="2"/>
      <c r="N311" s="2"/>
      <c r="O311" s="2"/>
      <c r="P311" s="2"/>
    </row>
    <row r="312">
      <c r="G312" s="2"/>
      <c r="H312" s="2"/>
      <c r="J312" s="2"/>
      <c r="L312" s="2"/>
      <c r="M312" s="2"/>
      <c r="N312" s="2"/>
      <c r="O312" s="2"/>
      <c r="P312" s="2"/>
    </row>
    <row r="313">
      <c r="G313" s="2"/>
      <c r="H313" s="2"/>
      <c r="J313" s="2"/>
      <c r="L313" s="2"/>
      <c r="M313" s="2"/>
      <c r="N313" s="2"/>
      <c r="O313" s="2"/>
      <c r="P313" s="2"/>
    </row>
    <row r="314">
      <c r="G314" s="2"/>
      <c r="H314" s="2"/>
      <c r="J314" s="2"/>
      <c r="L314" s="2"/>
      <c r="M314" s="2"/>
      <c r="N314" s="2"/>
      <c r="O314" s="2"/>
      <c r="P314" s="2"/>
    </row>
    <row r="315">
      <c r="G315" s="2"/>
      <c r="H315" s="2"/>
      <c r="J315" s="2"/>
      <c r="L315" s="2"/>
      <c r="M315" s="2"/>
      <c r="N315" s="2"/>
      <c r="O315" s="2"/>
      <c r="P315" s="2"/>
    </row>
    <row r="316">
      <c r="G316" s="2"/>
      <c r="H316" s="2"/>
      <c r="J316" s="2"/>
      <c r="L316" s="2"/>
      <c r="M316" s="2"/>
      <c r="N316" s="2"/>
      <c r="O316" s="2"/>
      <c r="P316" s="2"/>
    </row>
    <row r="317">
      <c r="G317" s="2"/>
      <c r="H317" s="2"/>
      <c r="J317" s="2"/>
      <c r="L317" s="2"/>
      <c r="M317" s="2"/>
      <c r="N317" s="2"/>
      <c r="O317" s="2"/>
      <c r="P317" s="2"/>
    </row>
    <row r="318">
      <c r="G318" s="2"/>
      <c r="H318" s="2"/>
      <c r="J318" s="2"/>
      <c r="L318" s="2"/>
      <c r="M318" s="2"/>
      <c r="N318" s="2"/>
      <c r="O318" s="2"/>
      <c r="P318" s="2"/>
    </row>
    <row r="319">
      <c r="G319" s="2"/>
      <c r="H319" s="2"/>
      <c r="J319" s="2"/>
      <c r="L319" s="2"/>
      <c r="M319" s="2"/>
      <c r="N319" s="2"/>
      <c r="O319" s="2"/>
      <c r="P319" s="2"/>
    </row>
    <row r="320">
      <c r="G320" s="2"/>
      <c r="H320" s="2"/>
      <c r="J320" s="2"/>
      <c r="L320" s="2"/>
      <c r="M320" s="2"/>
      <c r="N320" s="2"/>
      <c r="O320" s="2"/>
      <c r="P320" s="2"/>
    </row>
    <row r="321">
      <c r="G321" s="2"/>
      <c r="H321" s="2"/>
      <c r="J321" s="2"/>
      <c r="L321" s="2"/>
      <c r="M321" s="2"/>
      <c r="N321" s="2"/>
      <c r="O321" s="2"/>
      <c r="P321" s="2"/>
    </row>
    <row r="322">
      <c r="G322" s="2"/>
      <c r="H322" s="2"/>
      <c r="J322" s="2"/>
      <c r="L322" s="2"/>
      <c r="M322" s="2"/>
      <c r="N322" s="2"/>
      <c r="O322" s="2"/>
      <c r="P322" s="2"/>
    </row>
    <row r="323">
      <c r="G323" s="2"/>
      <c r="H323" s="2"/>
      <c r="J323" s="2"/>
      <c r="L323" s="2"/>
      <c r="M323" s="2"/>
      <c r="N323" s="2"/>
      <c r="O323" s="2"/>
      <c r="P323" s="2"/>
    </row>
    <row r="324">
      <c r="G324" s="2"/>
      <c r="H324" s="2"/>
      <c r="J324" s="2"/>
      <c r="L324" s="2"/>
      <c r="M324" s="2"/>
      <c r="N324" s="2"/>
      <c r="O324" s="2"/>
      <c r="P324" s="2"/>
    </row>
    <row r="325">
      <c r="G325" s="2"/>
      <c r="H325" s="2"/>
      <c r="J325" s="2"/>
      <c r="L325" s="2"/>
      <c r="M325" s="2"/>
      <c r="N325" s="2"/>
      <c r="O325" s="2"/>
      <c r="P325" s="2"/>
    </row>
    <row r="326">
      <c r="G326" s="2"/>
      <c r="H326" s="2"/>
      <c r="J326" s="2"/>
      <c r="L326" s="2"/>
      <c r="M326" s="2"/>
      <c r="N326" s="2"/>
      <c r="O326" s="2"/>
      <c r="P326" s="2"/>
    </row>
    <row r="327">
      <c r="G327" s="2"/>
      <c r="H327" s="2"/>
      <c r="J327" s="2"/>
      <c r="L327" s="2"/>
      <c r="M327" s="2"/>
      <c r="N327" s="2"/>
      <c r="O327" s="2"/>
      <c r="P327" s="2"/>
    </row>
    <row r="328">
      <c r="G328" s="2"/>
      <c r="H328" s="2"/>
      <c r="J328" s="2"/>
      <c r="L328" s="2"/>
      <c r="M328" s="2"/>
      <c r="N328" s="2"/>
      <c r="O328" s="2"/>
      <c r="P328" s="2"/>
    </row>
    <row r="329">
      <c r="G329" s="2"/>
      <c r="H329" s="2"/>
      <c r="J329" s="2"/>
      <c r="L329" s="2"/>
      <c r="M329" s="2"/>
      <c r="N329" s="2"/>
      <c r="O329" s="2"/>
      <c r="P329" s="2"/>
    </row>
    <row r="330">
      <c r="G330" s="2"/>
      <c r="H330" s="2"/>
      <c r="J330" s="2"/>
      <c r="L330" s="2"/>
      <c r="M330" s="2"/>
      <c r="N330" s="2"/>
      <c r="O330" s="2"/>
      <c r="P330" s="2"/>
    </row>
    <row r="331">
      <c r="G331" s="2"/>
      <c r="H331" s="2"/>
      <c r="J331" s="2"/>
      <c r="L331" s="2"/>
      <c r="M331" s="2"/>
      <c r="N331" s="2"/>
      <c r="O331" s="2"/>
      <c r="P331" s="2"/>
    </row>
    <row r="332">
      <c r="G332" s="2"/>
      <c r="H332" s="2"/>
      <c r="J332" s="2"/>
      <c r="L332" s="2"/>
      <c r="M332" s="2"/>
      <c r="N332" s="2"/>
      <c r="O332" s="2"/>
      <c r="P332" s="2"/>
    </row>
    <row r="333">
      <c r="G333" s="2"/>
      <c r="H333" s="2"/>
      <c r="J333" s="2"/>
      <c r="L333" s="2"/>
      <c r="M333" s="2"/>
      <c r="N333" s="2"/>
      <c r="O333" s="2"/>
      <c r="P333" s="2"/>
    </row>
    <row r="334">
      <c r="G334" s="2"/>
      <c r="H334" s="2"/>
      <c r="J334" s="2"/>
      <c r="L334" s="2"/>
      <c r="M334" s="2"/>
      <c r="N334" s="2"/>
      <c r="O334" s="2"/>
      <c r="P334" s="2"/>
    </row>
    <row r="335">
      <c r="G335" s="2"/>
      <c r="H335" s="2"/>
      <c r="J335" s="2"/>
      <c r="L335" s="2"/>
      <c r="M335" s="2"/>
      <c r="N335" s="2"/>
      <c r="O335" s="2"/>
      <c r="P335" s="2"/>
    </row>
    <row r="336">
      <c r="G336" s="2"/>
      <c r="H336" s="2"/>
      <c r="J336" s="2"/>
      <c r="L336" s="2"/>
      <c r="M336" s="2"/>
      <c r="N336" s="2"/>
      <c r="O336" s="2"/>
      <c r="P336" s="2"/>
    </row>
    <row r="337">
      <c r="G337" s="2"/>
      <c r="H337" s="2"/>
      <c r="J337" s="2"/>
      <c r="L337" s="2"/>
      <c r="M337" s="2"/>
      <c r="N337" s="2"/>
      <c r="O337" s="2"/>
      <c r="P337" s="2"/>
    </row>
    <row r="338">
      <c r="G338" s="2"/>
      <c r="H338" s="2"/>
      <c r="J338" s="2"/>
      <c r="L338" s="2"/>
      <c r="M338" s="2"/>
      <c r="N338" s="2"/>
      <c r="O338" s="2"/>
      <c r="P338" s="2"/>
    </row>
    <row r="339">
      <c r="G339" s="2"/>
      <c r="H339" s="2"/>
      <c r="J339" s="2"/>
      <c r="L339" s="2"/>
      <c r="M339" s="2"/>
      <c r="N339" s="2"/>
      <c r="O339" s="2"/>
      <c r="P339" s="2"/>
    </row>
    <row r="340">
      <c r="G340" s="2"/>
      <c r="H340" s="2"/>
      <c r="J340" s="2"/>
      <c r="L340" s="2"/>
      <c r="M340" s="2"/>
      <c r="N340" s="2"/>
      <c r="O340" s="2"/>
      <c r="P340" s="2"/>
    </row>
    <row r="341">
      <c r="G341" s="2"/>
      <c r="H341" s="2"/>
      <c r="J341" s="2"/>
      <c r="L341" s="2"/>
      <c r="M341" s="2"/>
      <c r="N341" s="2"/>
      <c r="O341" s="2"/>
      <c r="P341" s="2"/>
    </row>
    <row r="342">
      <c r="G342" s="2"/>
      <c r="H342" s="2"/>
      <c r="J342" s="2"/>
      <c r="L342" s="2"/>
      <c r="M342" s="2"/>
      <c r="N342" s="2"/>
      <c r="O342" s="2"/>
      <c r="P342" s="2"/>
    </row>
    <row r="343">
      <c r="G343" s="2"/>
      <c r="H343" s="2"/>
      <c r="J343" s="2"/>
      <c r="L343" s="2"/>
      <c r="M343" s="2"/>
      <c r="N343" s="2"/>
      <c r="O343" s="2"/>
      <c r="P343" s="2"/>
    </row>
    <row r="344">
      <c r="G344" s="2"/>
      <c r="H344" s="2"/>
      <c r="J344" s="2"/>
      <c r="L344" s="2"/>
      <c r="M344" s="2"/>
      <c r="N344" s="2"/>
      <c r="O344" s="2"/>
      <c r="P344" s="2"/>
    </row>
    <row r="345">
      <c r="G345" s="2"/>
      <c r="H345" s="2"/>
      <c r="J345" s="2"/>
      <c r="L345" s="2"/>
      <c r="M345" s="2"/>
      <c r="N345" s="2"/>
      <c r="O345" s="2"/>
      <c r="P345" s="2"/>
    </row>
    <row r="346">
      <c r="G346" s="2"/>
      <c r="H346" s="2"/>
      <c r="J346" s="2"/>
      <c r="L346" s="2"/>
      <c r="M346" s="2"/>
      <c r="N346" s="2"/>
      <c r="O346" s="2"/>
      <c r="P346" s="2"/>
    </row>
    <row r="347">
      <c r="G347" s="2"/>
      <c r="H347" s="2"/>
      <c r="J347" s="2"/>
      <c r="L347" s="2"/>
      <c r="M347" s="2"/>
      <c r="N347" s="2"/>
      <c r="O347" s="2"/>
      <c r="P347" s="2"/>
    </row>
    <row r="348">
      <c r="G348" s="2"/>
      <c r="H348" s="2"/>
      <c r="J348" s="2"/>
      <c r="L348" s="2"/>
      <c r="M348" s="2"/>
      <c r="N348" s="2"/>
      <c r="O348" s="2"/>
      <c r="P348" s="2"/>
    </row>
    <row r="349">
      <c r="G349" s="2"/>
      <c r="H349" s="2"/>
      <c r="J349" s="2"/>
      <c r="L349" s="2"/>
      <c r="M349" s="2"/>
      <c r="N349" s="2"/>
      <c r="O349" s="2"/>
      <c r="P349" s="2"/>
    </row>
    <row r="350">
      <c r="G350" s="2"/>
      <c r="H350" s="2"/>
      <c r="J350" s="2"/>
      <c r="L350" s="2"/>
      <c r="M350" s="2"/>
      <c r="N350" s="2"/>
      <c r="O350" s="2"/>
      <c r="P350" s="2"/>
    </row>
    <row r="351">
      <c r="G351" s="2"/>
      <c r="H351" s="2"/>
      <c r="J351" s="2"/>
      <c r="L351" s="2"/>
      <c r="M351" s="2"/>
      <c r="N351" s="2"/>
      <c r="O351" s="2"/>
      <c r="P351" s="2"/>
    </row>
    <row r="352">
      <c r="G352" s="2"/>
      <c r="H352" s="2"/>
      <c r="J352" s="2"/>
      <c r="L352" s="2"/>
      <c r="M352" s="2"/>
      <c r="N352" s="2"/>
      <c r="O352" s="2"/>
      <c r="P352" s="2"/>
    </row>
    <row r="353">
      <c r="G353" s="2"/>
      <c r="H353" s="2"/>
      <c r="J353" s="2"/>
      <c r="L353" s="2"/>
      <c r="M353" s="2"/>
      <c r="N353" s="2"/>
      <c r="O353" s="2"/>
      <c r="P353" s="2"/>
    </row>
    <row r="354">
      <c r="G354" s="2"/>
      <c r="H354" s="2"/>
      <c r="J354" s="2"/>
      <c r="L354" s="2"/>
      <c r="M354" s="2"/>
      <c r="N354" s="2"/>
      <c r="O354" s="2"/>
      <c r="P354" s="2"/>
    </row>
    <row r="355">
      <c r="G355" s="2"/>
      <c r="H355" s="2"/>
      <c r="J355" s="2"/>
      <c r="L355" s="2"/>
      <c r="M355" s="2"/>
      <c r="N355" s="2"/>
      <c r="O355" s="2"/>
      <c r="P355" s="2"/>
    </row>
    <row r="356">
      <c r="G356" s="2"/>
      <c r="H356" s="2"/>
      <c r="J356" s="2"/>
      <c r="L356" s="2"/>
      <c r="M356" s="2"/>
      <c r="N356" s="2"/>
      <c r="O356" s="2"/>
      <c r="P356" s="2"/>
    </row>
    <row r="357">
      <c r="G357" s="2"/>
      <c r="H357" s="2"/>
      <c r="J357" s="2"/>
      <c r="L357" s="2"/>
      <c r="M357" s="2"/>
      <c r="N357" s="2"/>
      <c r="O357" s="2"/>
      <c r="P357" s="2"/>
    </row>
    <row r="358">
      <c r="G358" s="2"/>
      <c r="H358" s="2"/>
      <c r="J358" s="2"/>
      <c r="L358" s="2"/>
      <c r="M358" s="2"/>
      <c r="N358" s="2"/>
      <c r="O358" s="2"/>
      <c r="P358" s="2"/>
    </row>
    <row r="359">
      <c r="G359" s="2"/>
      <c r="H359" s="2"/>
      <c r="J359" s="2"/>
      <c r="L359" s="2"/>
      <c r="M359" s="2"/>
      <c r="N359" s="2"/>
      <c r="O359" s="2"/>
      <c r="P359" s="2"/>
    </row>
    <row r="360">
      <c r="G360" s="2"/>
      <c r="H360" s="2"/>
      <c r="J360" s="2"/>
      <c r="L360" s="2"/>
      <c r="M360" s="2"/>
      <c r="N360" s="2"/>
      <c r="O360" s="2"/>
      <c r="P360" s="2"/>
    </row>
    <row r="361">
      <c r="G361" s="2"/>
      <c r="H361" s="2"/>
      <c r="J361" s="2"/>
      <c r="L361" s="2"/>
      <c r="M361" s="2"/>
      <c r="N361" s="2"/>
      <c r="O361" s="2"/>
      <c r="P361" s="2"/>
    </row>
    <row r="362">
      <c r="G362" s="2"/>
      <c r="H362" s="2"/>
      <c r="J362" s="2"/>
      <c r="L362" s="2"/>
      <c r="M362" s="2"/>
      <c r="N362" s="2"/>
      <c r="O362" s="2"/>
      <c r="P362" s="2"/>
    </row>
    <row r="363">
      <c r="G363" s="2"/>
      <c r="H363" s="2"/>
      <c r="J363" s="2"/>
      <c r="L363" s="2"/>
      <c r="M363" s="2"/>
      <c r="N363" s="2"/>
      <c r="O363" s="2"/>
      <c r="P363" s="2"/>
    </row>
    <row r="364">
      <c r="G364" s="2"/>
      <c r="H364" s="2"/>
      <c r="J364" s="2"/>
      <c r="L364" s="2"/>
      <c r="M364" s="2"/>
      <c r="N364" s="2"/>
      <c r="O364" s="2"/>
      <c r="P364" s="2"/>
    </row>
    <row r="365">
      <c r="G365" s="2"/>
      <c r="H365" s="2"/>
      <c r="J365" s="2"/>
      <c r="L365" s="2"/>
      <c r="M365" s="2"/>
      <c r="N365" s="2"/>
      <c r="O365" s="2"/>
      <c r="P365" s="2"/>
    </row>
    <row r="366">
      <c r="G366" s="2"/>
      <c r="H366" s="2"/>
      <c r="J366" s="2"/>
      <c r="L366" s="2"/>
      <c r="M366" s="2"/>
      <c r="N366" s="2"/>
      <c r="O366" s="2"/>
      <c r="P366" s="2"/>
    </row>
    <row r="367">
      <c r="G367" s="2"/>
      <c r="H367" s="2"/>
      <c r="J367" s="2"/>
      <c r="L367" s="2"/>
      <c r="M367" s="2"/>
      <c r="N367" s="2"/>
      <c r="O367" s="2"/>
      <c r="P367" s="2"/>
    </row>
    <row r="368">
      <c r="G368" s="2"/>
      <c r="H368" s="2"/>
      <c r="J368" s="2"/>
      <c r="L368" s="2"/>
      <c r="M368" s="2"/>
      <c r="N368" s="2"/>
      <c r="O368" s="2"/>
      <c r="P368" s="2"/>
    </row>
    <row r="369">
      <c r="G369" s="2"/>
      <c r="H369" s="2"/>
      <c r="J369" s="2"/>
      <c r="L369" s="2"/>
      <c r="M369" s="2"/>
      <c r="N369" s="2"/>
      <c r="O369" s="2"/>
      <c r="P369" s="2"/>
    </row>
    <row r="370">
      <c r="G370" s="2"/>
      <c r="H370" s="2"/>
      <c r="J370" s="2"/>
      <c r="L370" s="2"/>
      <c r="M370" s="2"/>
      <c r="N370" s="2"/>
      <c r="O370" s="2"/>
      <c r="P370" s="2"/>
    </row>
    <row r="371">
      <c r="G371" s="2"/>
      <c r="H371" s="2"/>
      <c r="J371" s="2"/>
      <c r="L371" s="2"/>
      <c r="M371" s="2"/>
      <c r="N371" s="2"/>
      <c r="O371" s="2"/>
      <c r="P371" s="2"/>
    </row>
    <row r="372">
      <c r="G372" s="2"/>
      <c r="H372" s="2"/>
      <c r="J372" s="2"/>
      <c r="L372" s="2"/>
      <c r="M372" s="2"/>
      <c r="N372" s="2"/>
      <c r="O372" s="2"/>
      <c r="P372" s="2"/>
    </row>
    <row r="373">
      <c r="G373" s="2"/>
      <c r="H373" s="2"/>
      <c r="J373" s="2"/>
      <c r="L373" s="2"/>
      <c r="M373" s="2"/>
      <c r="N373" s="2"/>
      <c r="O373" s="2"/>
      <c r="P373" s="2"/>
    </row>
    <row r="374">
      <c r="G374" s="2"/>
      <c r="H374" s="2"/>
      <c r="J374" s="2"/>
      <c r="L374" s="2"/>
      <c r="M374" s="2"/>
      <c r="N374" s="2"/>
      <c r="O374" s="2"/>
      <c r="P374" s="2"/>
    </row>
    <row r="375">
      <c r="G375" s="2"/>
      <c r="H375" s="2"/>
      <c r="J375" s="2"/>
      <c r="L375" s="2"/>
      <c r="M375" s="2"/>
      <c r="N375" s="2"/>
      <c r="O375" s="2"/>
      <c r="P375" s="2"/>
    </row>
    <row r="376">
      <c r="G376" s="2"/>
      <c r="H376" s="2"/>
      <c r="J376" s="2"/>
      <c r="L376" s="2"/>
      <c r="M376" s="2"/>
      <c r="N376" s="2"/>
      <c r="O376" s="2"/>
      <c r="P376" s="2"/>
    </row>
    <row r="377">
      <c r="G377" s="2"/>
      <c r="H377" s="2"/>
      <c r="J377" s="2"/>
      <c r="L377" s="2"/>
      <c r="M377" s="2"/>
      <c r="N377" s="2"/>
      <c r="O377" s="2"/>
      <c r="P377" s="2"/>
    </row>
    <row r="378">
      <c r="G378" s="2"/>
      <c r="H378" s="2"/>
      <c r="J378" s="2"/>
      <c r="L378" s="2"/>
      <c r="M378" s="2"/>
      <c r="N378" s="2"/>
      <c r="O378" s="2"/>
      <c r="P378" s="2"/>
    </row>
    <row r="379">
      <c r="G379" s="2"/>
      <c r="H379" s="2"/>
      <c r="J379" s="2"/>
      <c r="L379" s="2"/>
      <c r="M379" s="2"/>
      <c r="N379" s="2"/>
      <c r="O379" s="2"/>
      <c r="P379" s="2"/>
    </row>
    <row r="380">
      <c r="G380" s="2"/>
      <c r="H380" s="2"/>
      <c r="J380" s="2"/>
      <c r="L380" s="2"/>
      <c r="M380" s="2"/>
      <c r="N380" s="2"/>
      <c r="O380" s="2"/>
      <c r="P380" s="2"/>
    </row>
    <row r="381">
      <c r="G381" s="2"/>
      <c r="H381" s="2"/>
      <c r="J381" s="2"/>
      <c r="L381" s="2"/>
      <c r="M381" s="2"/>
      <c r="N381" s="2"/>
      <c r="O381" s="2"/>
      <c r="P381" s="2"/>
    </row>
    <row r="382">
      <c r="G382" s="2"/>
      <c r="H382" s="2"/>
      <c r="J382" s="2"/>
      <c r="L382" s="2"/>
      <c r="M382" s="2"/>
      <c r="N382" s="2"/>
      <c r="O382" s="2"/>
      <c r="P382" s="2"/>
    </row>
    <row r="383">
      <c r="G383" s="2"/>
      <c r="H383" s="2"/>
      <c r="J383" s="2"/>
      <c r="L383" s="2"/>
      <c r="M383" s="2"/>
      <c r="N383" s="2"/>
      <c r="O383" s="2"/>
      <c r="P383" s="2"/>
    </row>
    <row r="384">
      <c r="G384" s="2"/>
      <c r="H384" s="2"/>
      <c r="J384" s="2"/>
      <c r="L384" s="2"/>
      <c r="M384" s="2"/>
      <c r="N384" s="2"/>
      <c r="O384" s="2"/>
      <c r="P384" s="2"/>
    </row>
    <row r="385">
      <c r="G385" s="2"/>
      <c r="H385" s="2"/>
      <c r="J385" s="2"/>
      <c r="L385" s="2"/>
      <c r="M385" s="2"/>
      <c r="N385" s="2"/>
      <c r="O385" s="2"/>
      <c r="P385" s="2"/>
    </row>
    <row r="386">
      <c r="G386" s="2"/>
      <c r="H386" s="2"/>
      <c r="J386" s="2"/>
      <c r="L386" s="2"/>
      <c r="M386" s="2"/>
      <c r="N386" s="2"/>
      <c r="O386" s="2"/>
      <c r="P386" s="2"/>
    </row>
    <row r="387">
      <c r="G387" s="2"/>
      <c r="H387" s="2"/>
      <c r="J387" s="2"/>
      <c r="L387" s="2"/>
      <c r="M387" s="2"/>
      <c r="N387" s="2"/>
      <c r="O387" s="2"/>
      <c r="P387" s="2"/>
    </row>
    <row r="388">
      <c r="G388" s="2"/>
      <c r="H388" s="2"/>
      <c r="J388" s="2"/>
      <c r="L388" s="2"/>
      <c r="M388" s="2"/>
      <c r="N388" s="2"/>
      <c r="O388" s="2"/>
      <c r="P388" s="2"/>
    </row>
    <row r="389">
      <c r="G389" s="2"/>
      <c r="H389" s="2"/>
      <c r="J389" s="2"/>
      <c r="L389" s="2"/>
      <c r="M389" s="2"/>
      <c r="N389" s="2"/>
      <c r="O389" s="2"/>
      <c r="P389" s="2"/>
    </row>
    <row r="390">
      <c r="G390" s="2"/>
      <c r="H390" s="2"/>
      <c r="J390" s="2"/>
      <c r="L390" s="2"/>
      <c r="M390" s="2"/>
      <c r="N390" s="2"/>
      <c r="O390" s="2"/>
      <c r="P390" s="2"/>
    </row>
    <row r="391">
      <c r="G391" s="2"/>
      <c r="H391" s="2"/>
      <c r="J391" s="2"/>
      <c r="L391" s="2"/>
      <c r="M391" s="2"/>
      <c r="N391" s="2"/>
      <c r="O391" s="2"/>
      <c r="P391" s="2"/>
    </row>
    <row r="392">
      <c r="G392" s="2"/>
      <c r="H392" s="2"/>
      <c r="J392" s="2"/>
      <c r="L392" s="2"/>
      <c r="M392" s="2"/>
      <c r="N392" s="2"/>
      <c r="O392" s="2"/>
      <c r="P392" s="2"/>
    </row>
    <row r="393">
      <c r="G393" s="2"/>
      <c r="H393" s="2"/>
      <c r="J393" s="2"/>
      <c r="L393" s="2"/>
      <c r="M393" s="2"/>
      <c r="N393" s="2"/>
      <c r="O393" s="2"/>
      <c r="P393" s="2"/>
    </row>
    <row r="394">
      <c r="G394" s="2"/>
      <c r="H394" s="2"/>
      <c r="J394" s="2"/>
      <c r="L394" s="2"/>
      <c r="M394" s="2"/>
      <c r="N394" s="2"/>
      <c r="O394" s="2"/>
      <c r="P394" s="2"/>
    </row>
    <row r="395">
      <c r="G395" s="2"/>
      <c r="H395" s="2"/>
      <c r="J395" s="2"/>
      <c r="L395" s="2"/>
      <c r="M395" s="2"/>
      <c r="N395" s="2"/>
      <c r="O395" s="2"/>
      <c r="P395" s="2"/>
    </row>
    <row r="396">
      <c r="G396" s="2"/>
      <c r="H396" s="2"/>
      <c r="J396" s="2"/>
      <c r="L396" s="2"/>
      <c r="M396" s="2"/>
      <c r="N396" s="2"/>
      <c r="O396" s="2"/>
      <c r="P396" s="2"/>
    </row>
    <row r="397">
      <c r="G397" s="2"/>
      <c r="H397" s="2"/>
      <c r="J397" s="2"/>
      <c r="L397" s="2"/>
      <c r="M397" s="2"/>
      <c r="N397" s="2"/>
      <c r="O397" s="2"/>
      <c r="P397" s="2"/>
    </row>
    <row r="398">
      <c r="G398" s="2"/>
      <c r="H398" s="2"/>
      <c r="J398" s="2"/>
      <c r="L398" s="2"/>
      <c r="M398" s="2"/>
      <c r="N398" s="2"/>
      <c r="O398" s="2"/>
      <c r="P398" s="2"/>
    </row>
    <row r="399">
      <c r="G399" s="2"/>
      <c r="H399" s="2"/>
      <c r="J399" s="2"/>
      <c r="L399" s="2"/>
      <c r="M399" s="2"/>
      <c r="N399" s="2"/>
      <c r="O399" s="2"/>
      <c r="P399" s="2"/>
    </row>
    <row r="400">
      <c r="G400" s="2"/>
      <c r="H400" s="2"/>
      <c r="J400" s="2"/>
      <c r="L400" s="2"/>
      <c r="M400" s="2"/>
      <c r="N400" s="2"/>
      <c r="O400" s="2"/>
      <c r="P400" s="2"/>
    </row>
    <row r="401">
      <c r="G401" s="2"/>
      <c r="H401" s="2"/>
      <c r="J401" s="2"/>
      <c r="L401" s="2"/>
      <c r="M401" s="2"/>
      <c r="N401" s="2"/>
      <c r="O401" s="2"/>
      <c r="P401" s="2"/>
    </row>
    <row r="402">
      <c r="G402" s="2"/>
      <c r="H402" s="2"/>
      <c r="J402" s="2"/>
      <c r="L402" s="2"/>
      <c r="M402" s="2"/>
      <c r="N402" s="2"/>
      <c r="O402" s="2"/>
      <c r="P402" s="2"/>
    </row>
    <row r="403">
      <c r="G403" s="2"/>
      <c r="H403" s="2"/>
      <c r="J403" s="2"/>
      <c r="L403" s="2"/>
      <c r="M403" s="2"/>
      <c r="N403" s="2"/>
      <c r="O403" s="2"/>
      <c r="P403" s="2"/>
    </row>
    <row r="404">
      <c r="G404" s="2"/>
      <c r="H404" s="2"/>
      <c r="J404" s="2"/>
      <c r="L404" s="2"/>
      <c r="M404" s="2"/>
      <c r="N404" s="2"/>
      <c r="O404" s="2"/>
      <c r="P404" s="2"/>
    </row>
    <row r="405">
      <c r="G405" s="2"/>
      <c r="H405" s="2"/>
      <c r="J405" s="2"/>
      <c r="L405" s="2"/>
      <c r="M405" s="2"/>
      <c r="N405" s="2"/>
      <c r="O405" s="2"/>
      <c r="P405" s="2"/>
    </row>
    <row r="406">
      <c r="G406" s="2"/>
      <c r="H406" s="2"/>
      <c r="J406" s="2"/>
      <c r="L406" s="2"/>
      <c r="M406" s="2"/>
      <c r="N406" s="2"/>
      <c r="O406" s="2"/>
      <c r="P406" s="2"/>
    </row>
    <row r="407">
      <c r="G407" s="2"/>
      <c r="H407" s="2"/>
      <c r="J407" s="2"/>
      <c r="L407" s="2"/>
      <c r="M407" s="2"/>
      <c r="N407" s="2"/>
      <c r="O407" s="2"/>
      <c r="P407" s="2"/>
    </row>
    <row r="408">
      <c r="G408" s="2"/>
      <c r="H408" s="2"/>
      <c r="J408" s="2"/>
      <c r="L408" s="2"/>
      <c r="M408" s="2"/>
      <c r="N408" s="2"/>
      <c r="O408" s="2"/>
      <c r="P408" s="2"/>
    </row>
    <row r="409">
      <c r="G409" s="2"/>
      <c r="H409" s="2"/>
      <c r="J409" s="2"/>
      <c r="L409" s="2"/>
      <c r="M409" s="2"/>
      <c r="N409" s="2"/>
      <c r="O409" s="2"/>
      <c r="P409" s="2"/>
    </row>
    <row r="410">
      <c r="G410" s="2"/>
      <c r="H410" s="2"/>
      <c r="J410" s="2"/>
      <c r="L410" s="2"/>
      <c r="M410" s="2"/>
      <c r="N410" s="2"/>
      <c r="O410" s="2"/>
      <c r="P410" s="2"/>
    </row>
    <row r="411">
      <c r="G411" s="2"/>
      <c r="H411" s="2"/>
      <c r="J411" s="2"/>
      <c r="L411" s="2"/>
      <c r="M411" s="2"/>
      <c r="N411" s="2"/>
      <c r="O411" s="2"/>
      <c r="P411" s="2"/>
    </row>
    <row r="412">
      <c r="G412" s="2"/>
      <c r="H412" s="2"/>
      <c r="J412" s="2"/>
      <c r="L412" s="2"/>
      <c r="M412" s="2"/>
      <c r="N412" s="2"/>
      <c r="O412" s="2"/>
      <c r="P412" s="2"/>
    </row>
    <row r="413">
      <c r="G413" s="2"/>
      <c r="H413" s="2"/>
      <c r="J413" s="2"/>
      <c r="L413" s="2"/>
      <c r="M413" s="2"/>
      <c r="N413" s="2"/>
      <c r="O413" s="2"/>
      <c r="P413" s="2"/>
    </row>
    <row r="414">
      <c r="G414" s="2"/>
      <c r="H414" s="2"/>
      <c r="J414" s="2"/>
      <c r="L414" s="2"/>
      <c r="M414" s="2"/>
      <c r="N414" s="2"/>
      <c r="O414" s="2"/>
      <c r="P414" s="2"/>
    </row>
    <row r="415">
      <c r="G415" s="2"/>
      <c r="H415" s="2"/>
      <c r="J415" s="2"/>
      <c r="L415" s="2"/>
      <c r="M415" s="2"/>
      <c r="N415" s="2"/>
      <c r="O415" s="2"/>
      <c r="P415" s="2"/>
    </row>
    <row r="416">
      <c r="G416" s="2"/>
      <c r="H416" s="2"/>
      <c r="J416" s="2"/>
      <c r="L416" s="2"/>
      <c r="M416" s="2"/>
      <c r="N416" s="2"/>
      <c r="O416" s="2"/>
      <c r="P416" s="2"/>
    </row>
    <row r="417">
      <c r="G417" s="2"/>
      <c r="H417" s="2"/>
      <c r="J417" s="2"/>
      <c r="L417" s="2"/>
      <c r="M417" s="2"/>
      <c r="N417" s="2"/>
      <c r="O417" s="2"/>
      <c r="P417" s="2"/>
    </row>
    <row r="418">
      <c r="G418" s="2"/>
      <c r="H418" s="2"/>
      <c r="J418" s="2"/>
      <c r="L418" s="2"/>
      <c r="M418" s="2"/>
      <c r="N418" s="2"/>
      <c r="O418" s="2"/>
      <c r="P418" s="2"/>
    </row>
    <row r="419">
      <c r="G419" s="2"/>
      <c r="H419" s="2"/>
      <c r="J419" s="2"/>
      <c r="L419" s="2"/>
      <c r="M419" s="2"/>
      <c r="N419" s="2"/>
      <c r="O419" s="2"/>
      <c r="P419" s="2"/>
    </row>
    <row r="420">
      <c r="G420" s="2"/>
      <c r="H420" s="2"/>
      <c r="J420" s="2"/>
      <c r="L420" s="2"/>
      <c r="M420" s="2"/>
      <c r="N420" s="2"/>
      <c r="O420" s="2"/>
      <c r="P420" s="2"/>
    </row>
    <row r="421">
      <c r="G421" s="2"/>
      <c r="H421" s="2"/>
      <c r="J421" s="2"/>
      <c r="L421" s="2"/>
      <c r="M421" s="2"/>
      <c r="N421" s="2"/>
      <c r="O421" s="2"/>
      <c r="P421" s="2"/>
    </row>
    <row r="422">
      <c r="G422" s="2"/>
      <c r="H422" s="2"/>
      <c r="J422" s="2"/>
      <c r="L422" s="2"/>
      <c r="M422" s="2"/>
      <c r="N422" s="2"/>
      <c r="O422" s="2"/>
      <c r="P422" s="2"/>
    </row>
    <row r="423">
      <c r="G423" s="2"/>
      <c r="H423" s="2"/>
      <c r="J423" s="2"/>
      <c r="L423" s="2"/>
      <c r="M423" s="2"/>
      <c r="N423" s="2"/>
      <c r="O423" s="2"/>
      <c r="P423" s="2"/>
    </row>
    <row r="424">
      <c r="G424" s="2"/>
      <c r="H424" s="2"/>
      <c r="J424" s="2"/>
      <c r="L424" s="2"/>
      <c r="M424" s="2"/>
      <c r="N424" s="2"/>
      <c r="O424" s="2"/>
      <c r="P424" s="2"/>
    </row>
    <row r="425">
      <c r="G425" s="2"/>
      <c r="H425" s="2"/>
      <c r="J425" s="2"/>
      <c r="L425" s="2"/>
      <c r="M425" s="2"/>
      <c r="N425" s="2"/>
      <c r="O425" s="2"/>
      <c r="P425" s="2"/>
    </row>
    <row r="426">
      <c r="G426" s="2"/>
      <c r="H426" s="2"/>
      <c r="J426" s="2"/>
      <c r="L426" s="2"/>
      <c r="M426" s="2"/>
      <c r="N426" s="2"/>
      <c r="O426" s="2"/>
      <c r="P426" s="2"/>
    </row>
    <row r="427">
      <c r="G427" s="2"/>
      <c r="H427" s="2"/>
      <c r="J427" s="2"/>
      <c r="L427" s="2"/>
      <c r="M427" s="2"/>
      <c r="N427" s="2"/>
      <c r="O427" s="2"/>
      <c r="P427" s="2"/>
    </row>
    <row r="428">
      <c r="G428" s="2"/>
      <c r="H428" s="2"/>
      <c r="J428" s="2"/>
      <c r="L428" s="2"/>
      <c r="M428" s="2"/>
      <c r="N428" s="2"/>
      <c r="O428" s="2"/>
      <c r="P428" s="2"/>
    </row>
    <row r="429">
      <c r="G429" s="2"/>
      <c r="H429" s="2"/>
      <c r="J429" s="2"/>
      <c r="L429" s="2"/>
      <c r="M429" s="2"/>
      <c r="N429" s="2"/>
      <c r="O429" s="2"/>
      <c r="P429" s="2"/>
    </row>
    <row r="430">
      <c r="G430" s="2"/>
      <c r="H430" s="2"/>
      <c r="J430" s="2"/>
      <c r="L430" s="2"/>
      <c r="M430" s="2"/>
      <c r="N430" s="2"/>
      <c r="O430" s="2"/>
      <c r="P430" s="2"/>
    </row>
    <row r="431">
      <c r="G431" s="2"/>
      <c r="H431" s="2"/>
      <c r="J431" s="2"/>
      <c r="L431" s="2"/>
      <c r="M431" s="2"/>
      <c r="N431" s="2"/>
      <c r="O431" s="2"/>
      <c r="P431" s="2"/>
    </row>
    <row r="432">
      <c r="G432" s="2"/>
      <c r="H432" s="2"/>
      <c r="J432" s="2"/>
      <c r="L432" s="2"/>
      <c r="M432" s="2"/>
      <c r="N432" s="2"/>
      <c r="O432" s="2"/>
      <c r="P432" s="2"/>
    </row>
    <row r="433">
      <c r="G433" s="2"/>
      <c r="H433" s="2"/>
      <c r="J433" s="2"/>
      <c r="L433" s="2"/>
      <c r="M433" s="2"/>
      <c r="N433" s="2"/>
      <c r="O433" s="2"/>
      <c r="P433" s="2"/>
    </row>
    <row r="434">
      <c r="G434" s="2"/>
      <c r="H434" s="2"/>
      <c r="J434" s="2"/>
      <c r="L434" s="2"/>
      <c r="M434" s="2"/>
      <c r="N434" s="2"/>
      <c r="O434" s="2"/>
      <c r="P434" s="2"/>
    </row>
    <row r="435">
      <c r="G435" s="2"/>
      <c r="H435" s="2"/>
      <c r="J435" s="2"/>
      <c r="L435" s="2"/>
      <c r="M435" s="2"/>
      <c r="N435" s="2"/>
      <c r="O435" s="2"/>
      <c r="P435" s="2"/>
    </row>
    <row r="436">
      <c r="G436" s="2"/>
      <c r="H436" s="2"/>
      <c r="J436" s="2"/>
      <c r="L436" s="2"/>
      <c r="M436" s="2"/>
      <c r="N436" s="2"/>
      <c r="O436" s="2"/>
      <c r="P436" s="2"/>
    </row>
    <row r="437">
      <c r="G437" s="2"/>
      <c r="H437" s="2"/>
      <c r="J437" s="2"/>
      <c r="L437" s="2"/>
      <c r="M437" s="2"/>
      <c r="N437" s="2"/>
      <c r="O437" s="2"/>
      <c r="P437" s="2"/>
    </row>
    <row r="438">
      <c r="G438" s="2"/>
      <c r="H438" s="2"/>
      <c r="J438" s="2"/>
      <c r="L438" s="2"/>
      <c r="M438" s="2"/>
      <c r="N438" s="2"/>
      <c r="O438" s="2"/>
      <c r="P438" s="2"/>
    </row>
    <row r="439">
      <c r="G439" s="2"/>
      <c r="H439" s="2"/>
      <c r="J439" s="2"/>
      <c r="L439" s="2"/>
      <c r="M439" s="2"/>
      <c r="N439" s="2"/>
      <c r="O439" s="2"/>
      <c r="P439" s="2"/>
    </row>
    <row r="440">
      <c r="G440" s="2"/>
      <c r="H440" s="2"/>
      <c r="J440" s="2"/>
      <c r="L440" s="2"/>
      <c r="M440" s="2"/>
      <c r="N440" s="2"/>
      <c r="O440" s="2"/>
      <c r="P440" s="2"/>
    </row>
    <row r="441">
      <c r="G441" s="2"/>
      <c r="H441" s="2"/>
      <c r="J441" s="2"/>
      <c r="L441" s="2"/>
      <c r="M441" s="2"/>
      <c r="N441" s="2"/>
      <c r="O441" s="2"/>
      <c r="P441" s="2"/>
    </row>
    <row r="442">
      <c r="G442" s="2"/>
      <c r="H442" s="2"/>
      <c r="J442" s="2"/>
      <c r="L442" s="2"/>
      <c r="M442" s="2"/>
      <c r="N442" s="2"/>
      <c r="O442" s="2"/>
      <c r="P442" s="2"/>
    </row>
    <row r="443">
      <c r="G443" s="2"/>
      <c r="H443" s="2"/>
      <c r="J443" s="2"/>
      <c r="L443" s="2"/>
      <c r="M443" s="2"/>
      <c r="N443" s="2"/>
      <c r="O443" s="2"/>
      <c r="P443" s="2"/>
    </row>
    <row r="444">
      <c r="G444" s="2"/>
      <c r="H444" s="2"/>
      <c r="J444" s="2"/>
      <c r="L444" s="2"/>
      <c r="M444" s="2"/>
      <c r="N444" s="2"/>
      <c r="O444" s="2"/>
      <c r="P444" s="2"/>
    </row>
    <row r="445">
      <c r="G445" s="2"/>
      <c r="H445" s="2"/>
      <c r="J445" s="2"/>
      <c r="L445" s="2"/>
      <c r="M445" s="2"/>
      <c r="N445" s="2"/>
      <c r="O445" s="2"/>
      <c r="P445" s="2"/>
    </row>
    <row r="446">
      <c r="G446" s="2"/>
      <c r="H446" s="2"/>
      <c r="J446" s="2"/>
      <c r="L446" s="2"/>
      <c r="M446" s="2"/>
      <c r="N446" s="2"/>
      <c r="O446" s="2"/>
      <c r="P446" s="2"/>
    </row>
    <row r="447">
      <c r="G447" s="2"/>
      <c r="H447" s="2"/>
      <c r="J447" s="2"/>
      <c r="L447" s="2"/>
      <c r="M447" s="2"/>
      <c r="N447" s="2"/>
      <c r="O447" s="2"/>
      <c r="P447" s="2"/>
    </row>
    <row r="448">
      <c r="G448" s="2"/>
      <c r="H448" s="2"/>
      <c r="J448" s="2"/>
      <c r="L448" s="2"/>
      <c r="M448" s="2"/>
      <c r="N448" s="2"/>
      <c r="O448" s="2"/>
      <c r="P448" s="2"/>
    </row>
    <row r="449">
      <c r="G449" s="2"/>
      <c r="H449" s="2"/>
      <c r="J449" s="2"/>
      <c r="L449" s="2"/>
      <c r="M449" s="2"/>
      <c r="N449" s="2"/>
      <c r="O449" s="2"/>
      <c r="P449" s="2"/>
    </row>
    <row r="450">
      <c r="G450" s="2"/>
      <c r="H450" s="2"/>
      <c r="J450" s="2"/>
      <c r="L450" s="2"/>
      <c r="M450" s="2"/>
      <c r="N450" s="2"/>
      <c r="O450" s="2"/>
      <c r="P450" s="2"/>
    </row>
    <row r="451">
      <c r="G451" s="2"/>
      <c r="H451" s="2"/>
      <c r="J451" s="2"/>
      <c r="L451" s="2"/>
      <c r="M451" s="2"/>
      <c r="N451" s="2"/>
      <c r="O451" s="2"/>
      <c r="P451" s="2"/>
    </row>
    <row r="452">
      <c r="G452" s="2"/>
      <c r="H452" s="2"/>
      <c r="J452" s="2"/>
      <c r="L452" s="2"/>
      <c r="M452" s="2"/>
      <c r="N452" s="2"/>
      <c r="O452" s="2"/>
      <c r="P452" s="2"/>
    </row>
    <row r="453">
      <c r="G453" s="2"/>
      <c r="H453" s="2"/>
      <c r="J453" s="2"/>
      <c r="L453" s="2"/>
      <c r="M453" s="2"/>
      <c r="N453" s="2"/>
      <c r="O453" s="2"/>
      <c r="P453" s="2"/>
    </row>
    <row r="454">
      <c r="G454" s="2"/>
      <c r="H454" s="2"/>
      <c r="J454" s="2"/>
      <c r="L454" s="2"/>
      <c r="M454" s="2"/>
      <c r="N454" s="2"/>
      <c r="O454" s="2"/>
      <c r="P454" s="2"/>
    </row>
    <row r="455">
      <c r="G455" s="2"/>
      <c r="H455" s="2"/>
      <c r="J455" s="2"/>
      <c r="L455" s="2"/>
      <c r="M455" s="2"/>
      <c r="N455" s="2"/>
      <c r="O455" s="2"/>
      <c r="P455" s="2"/>
    </row>
    <row r="456">
      <c r="G456" s="2"/>
      <c r="H456" s="2"/>
      <c r="J456" s="2"/>
      <c r="L456" s="2"/>
      <c r="M456" s="2"/>
      <c r="N456" s="2"/>
      <c r="O456" s="2"/>
      <c r="P456" s="2"/>
    </row>
    <row r="457">
      <c r="G457" s="2"/>
      <c r="H457" s="2"/>
      <c r="J457" s="2"/>
      <c r="L457" s="2"/>
      <c r="M457" s="2"/>
      <c r="N457" s="2"/>
      <c r="O457" s="2"/>
      <c r="P457" s="2"/>
    </row>
    <row r="458">
      <c r="G458" s="2"/>
      <c r="H458" s="2"/>
      <c r="J458" s="2"/>
      <c r="L458" s="2"/>
      <c r="M458" s="2"/>
      <c r="N458" s="2"/>
      <c r="O458" s="2"/>
      <c r="P458" s="2"/>
    </row>
    <row r="459">
      <c r="G459" s="2"/>
      <c r="H459" s="2"/>
      <c r="J459" s="2"/>
      <c r="L459" s="2"/>
      <c r="M459" s="2"/>
      <c r="N459" s="2"/>
      <c r="O459" s="2"/>
      <c r="P459" s="2"/>
    </row>
    <row r="460">
      <c r="G460" s="2"/>
      <c r="H460" s="2"/>
      <c r="J460" s="2"/>
      <c r="L460" s="2"/>
      <c r="M460" s="2"/>
      <c r="N460" s="2"/>
      <c r="O460" s="2"/>
      <c r="P460" s="2"/>
    </row>
    <row r="461">
      <c r="G461" s="2"/>
      <c r="H461" s="2"/>
      <c r="J461" s="2"/>
      <c r="L461" s="2"/>
      <c r="M461" s="2"/>
      <c r="N461" s="2"/>
      <c r="O461" s="2"/>
      <c r="P461" s="2"/>
    </row>
    <row r="462">
      <c r="G462" s="2"/>
      <c r="H462" s="2"/>
      <c r="J462" s="2"/>
      <c r="L462" s="2"/>
      <c r="M462" s="2"/>
      <c r="N462" s="2"/>
      <c r="O462" s="2"/>
      <c r="P462" s="2"/>
    </row>
    <row r="463">
      <c r="G463" s="2"/>
      <c r="H463" s="2"/>
      <c r="J463" s="2"/>
      <c r="L463" s="2"/>
      <c r="M463" s="2"/>
      <c r="N463" s="2"/>
      <c r="O463" s="2"/>
      <c r="P463" s="2"/>
    </row>
    <row r="464">
      <c r="G464" s="2"/>
      <c r="H464" s="2"/>
      <c r="J464" s="2"/>
      <c r="L464" s="2"/>
      <c r="M464" s="2"/>
      <c r="N464" s="2"/>
      <c r="O464" s="2"/>
      <c r="P464" s="2"/>
    </row>
    <row r="465">
      <c r="G465" s="2"/>
      <c r="H465" s="2"/>
      <c r="J465" s="2"/>
      <c r="L465" s="2"/>
      <c r="M465" s="2"/>
      <c r="N465" s="2"/>
      <c r="O465" s="2"/>
      <c r="P465" s="2"/>
    </row>
    <row r="466">
      <c r="G466" s="2"/>
      <c r="H466" s="2"/>
      <c r="J466" s="2"/>
      <c r="L466" s="2"/>
      <c r="M466" s="2"/>
      <c r="N466" s="2"/>
      <c r="O466" s="2"/>
      <c r="P466" s="2"/>
    </row>
    <row r="467">
      <c r="G467" s="2"/>
      <c r="H467" s="2"/>
      <c r="J467" s="2"/>
      <c r="L467" s="2"/>
      <c r="M467" s="2"/>
      <c r="N467" s="2"/>
      <c r="O467" s="2"/>
      <c r="P467" s="2"/>
    </row>
    <row r="468">
      <c r="G468" s="2"/>
      <c r="H468" s="2"/>
      <c r="J468" s="2"/>
      <c r="L468" s="2"/>
      <c r="M468" s="2"/>
      <c r="N468" s="2"/>
      <c r="O468" s="2"/>
      <c r="P468" s="2"/>
    </row>
    <row r="469">
      <c r="G469" s="2"/>
      <c r="H469" s="2"/>
      <c r="J469" s="2"/>
      <c r="L469" s="2"/>
      <c r="M469" s="2"/>
      <c r="N469" s="2"/>
      <c r="O469" s="2"/>
      <c r="P469" s="2"/>
    </row>
    <row r="470">
      <c r="G470" s="2"/>
      <c r="H470" s="2"/>
      <c r="J470" s="2"/>
      <c r="L470" s="2"/>
      <c r="M470" s="2"/>
      <c r="N470" s="2"/>
      <c r="O470" s="2"/>
      <c r="P470" s="2"/>
    </row>
    <row r="471">
      <c r="G471" s="2"/>
      <c r="H471" s="2"/>
      <c r="J471" s="2"/>
      <c r="L471" s="2"/>
      <c r="M471" s="2"/>
      <c r="N471" s="2"/>
      <c r="O471" s="2"/>
      <c r="P471" s="2"/>
    </row>
    <row r="472">
      <c r="G472" s="2"/>
      <c r="H472" s="2"/>
      <c r="J472" s="2"/>
      <c r="L472" s="2"/>
      <c r="M472" s="2"/>
      <c r="N472" s="2"/>
      <c r="O472" s="2"/>
      <c r="P472" s="2"/>
    </row>
    <row r="473">
      <c r="G473" s="2"/>
      <c r="H473" s="2"/>
      <c r="J473" s="2"/>
      <c r="L473" s="2"/>
      <c r="M473" s="2"/>
      <c r="N473" s="2"/>
      <c r="O473" s="2"/>
      <c r="P473" s="2"/>
    </row>
    <row r="474">
      <c r="G474" s="2"/>
      <c r="H474" s="2"/>
      <c r="J474" s="2"/>
      <c r="L474" s="2"/>
      <c r="M474" s="2"/>
      <c r="N474" s="2"/>
      <c r="O474" s="2"/>
      <c r="P474" s="2"/>
    </row>
    <row r="475">
      <c r="G475" s="2"/>
      <c r="H475" s="2"/>
      <c r="J475" s="2"/>
      <c r="L475" s="2"/>
      <c r="M475" s="2"/>
      <c r="N475" s="2"/>
      <c r="O475" s="2"/>
      <c r="P475" s="2"/>
    </row>
    <row r="476">
      <c r="G476" s="2"/>
      <c r="H476" s="2"/>
      <c r="J476" s="2"/>
      <c r="L476" s="2"/>
      <c r="M476" s="2"/>
      <c r="N476" s="2"/>
      <c r="O476" s="2"/>
      <c r="P476" s="2"/>
    </row>
    <row r="477">
      <c r="G477" s="2"/>
      <c r="H477" s="2"/>
      <c r="J477" s="2"/>
      <c r="L477" s="2"/>
      <c r="M477" s="2"/>
      <c r="N477" s="2"/>
      <c r="O477" s="2"/>
      <c r="P477" s="2"/>
    </row>
    <row r="478">
      <c r="G478" s="2"/>
      <c r="H478" s="2"/>
      <c r="J478" s="2"/>
      <c r="L478" s="2"/>
      <c r="M478" s="2"/>
      <c r="N478" s="2"/>
      <c r="O478" s="2"/>
      <c r="P478" s="2"/>
    </row>
    <row r="479">
      <c r="G479" s="2"/>
      <c r="H479" s="2"/>
      <c r="J479" s="2"/>
      <c r="L479" s="2"/>
      <c r="M479" s="2"/>
      <c r="N479" s="2"/>
      <c r="O479" s="2"/>
      <c r="P479" s="2"/>
    </row>
    <row r="480">
      <c r="G480" s="2"/>
      <c r="H480" s="2"/>
      <c r="J480" s="2"/>
      <c r="L480" s="2"/>
      <c r="M480" s="2"/>
      <c r="N480" s="2"/>
      <c r="O480" s="2"/>
      <c r="P480" s="2"/>
    </row>
    <row r="481">
      <c r="G481" s="2"/>
      <c r="H481" s="2"/>
      <c r="J481" s="2"/>
      <c r="L481" s="2"/>
      <c r="M481" s="2"/>
      <c r="N481" s="2"/>
      <c r="O481" s="2"/>
      <c r="P481" s="2"/>
    </row>
    <row r="482">
      <c r="G482" s="2"/>
      <c r="H482" s="2"/>
      <c r="J482" s="2"/>
      <c r="L482" s="2"/>
      <c r="M482" s="2"/>
      <c r="N482" s="2"/>
      <c r="O482" s="2"/>
      <c r="P482" s="2"/>
    </row>
    <row r="483">
      <c r="G483" s="2"/>
      <c r="H483" s="2"/>
      <c r="J483" s="2"/>
      <c r="L483" s="2"/>
      <c r="M483" s="2"/>
      <c r="N483" s="2"/>
      <c r="O483" s="2"/>
      <c r="P483" s="2"/>
    </row>
    <row r="484">
      <c r="G484" s="2"/>
      <c r="H484" s="2"/>
      <c r="J484" s="2"/>
      <c r="L484" s="2"/>
      <c r="M484" s="2"/>
      <c r="N484" s="2"/>
      <c r="O484" s="2"/>
      <c r="P484" s="2"/>
    </row>
    <row r="485">
      <c r="G485" s="2"/>
      <c r="H485" s="2"/>
      <c r="J485" s="2"/>
      <c r="L485" s="2"/>
      <c r="M485" s="2"/>
      <c r="N485" s="2"/>
      <c r="O485" s="2"/>
      <c r="P485" s="2"/>
    </row>
    <row r="486">
      <c r="G486" s="2"/>
      <c r="H486" s="2"/>
      <c r="J486" s="2"/>
      <c r="L486" s="2"/>
      <c r="M486" s="2"/>
      <c r="N486" s="2"/>
      <c r="O486" s="2"/>
      <c r="P486" s="2"/>
    </row>
    <row r="487">
      <c r="G487" s="2"/>
      <c r="H487" s="2"/>
      <c r="J487" s="2"/>
      <c r="L487" s="2"/>
      <c r="M487" s="2"/>
      <c r="N487" s="2"/>
      <c r="O487" s="2"/>
      <c r="P487" s="2"/>
    </row>
    <row r="488">
      <c r="G488" s="2"/>
      <c r="H488" s="2"/>
      <c r="J488" s="2"/>
      <c r="L488" s="2"/>
      <c r="M488" s="2"/>
      <c r="N488" s="2"/>
      <c r="O488" s="2"/>
      <c r="P488" s="2"/>
    </row>
    <row r="489">
      <c r="G489" s="2"/>
      <c r="H489" s="2"/>
      <c r="J489" s="2"/>
      <c r="L489" s="2"/>
      <c r="M489" s="2"/>
      <c r="N489" s="2"/>
      <c r="O489" s="2"/>
      <c r="P489" s="2"/>
    </row>
    <row r="490">
      <c r="G490" s="2"/>
      <c r="H490" s="2"/>
      <c r="J490" s="2"/>
      <c r="L490" s="2"/>
      <c r="M490" s="2"/>
      <c r="N490" s="2"/>
      <c r="O490" s="2"/>
      <c r="P490" s="2"/>
    </row>
    <row r="491">
      <c r="G491" s="2"/>
      <c r="H491" s="2"/>
      <c r="J491" s="2"/>
      <c r="L491" s="2"/>
      <c r="M491" s="2"/>
      <c r="N491" s="2"/>
      <c r="O491" s="2"/>
      <c r="P491" s="2"/>
    </row>
    <row r="492">
      <c r="G492" s="2"/>
      <c r="H492" s="2"/>
      <c r="J492" s="2"/>
      <c r="L492" s="2"/>
      <c r="M492" s="2"/>
      <c r="N492" s="2"/>
      <c r="O492" s="2"/>
      <c r="P492" s="2"/>
    </row>
    <row r="493">
      <c r="G493" s="2"/>
      <c r="H493" s="2"/>
      <c r="J493" s="2"/>
      <c r="L493" s="2"/>
      <c r="M493" s="2"/>
      <c r="N493" s="2"/>
      <c r="O493" s="2"/>
      <c r="P493" s="2"/>
    </row>
    <row r="494">
      <c r="G494" s="2"/>
      <c r="H494" s="2"/>
      <c r="J494" s="2"/>
      <c r="L494" s="2"/>
      <c r="M494" s="2"/>
      <c r="N494" s="2"/>
      <c r="O494" s="2"/>
      <c r="P494" s="2"/>
    </row>
    <row r="495">
      <c r="G495" s="2"/>
      <c r="H495" s="2"/>
      <c r="J495" s="2"/>
      <c r="L495" s="2"/>
      <c r="M495" s="2"/>
      <c r="N495" s="2"/>
      <c r="O495" s="2"/>
      <c r="P495" s="2"/>
    </row>
    <row r="496">
      <c r="G496" s="2"/>
      <c r="H496" s="2"/>
      <c r="J496" s="2"/>
      <c r="L496" s="2"/>
      <c r="M496" s="2"/>
      <c r="N496" s="2"/>
      <c r="O496" s="2"/>
      <c r="P496" s="2"/>
    </row>
    <row r="497">
      <c r="G497" s="2"/>
      <c r="H497" s="2"/>
      <c r="J497" s="2"/>
      <c r="L497" s="2"/>
      <c r="M497" s="2"/>
      <c r="N497" s="2"/>
      <c r="O497" s="2"/>
      <c r="P497" s="2"/>
    </row>
    <row r="498">
      <c r="G498" s="2"/>
      <c r="H498" s="2"/>
      <c r="J498" s="2"/>
      <c r="L498" s="2"/>
      <c r="M498" s="2"/>
      <c r="N498" s="2"/>
      <c r="O498" s="2"/>
      <c r="P498" s="2"/>
    </row>
    <row r="499">
      <c r="G499" s="2"/>
      <c r="H499" s="2"/>
      <c r="J499" s="2"/>
      <c r="L499" s="2"/>
      <c r="M499" s="2"/>
      <c r="N499" s="2"/>
      <c r="O499" s="2"/>
      <c r="P499" s="2"/>
    </row>
    <row r="500">
      <c r="G500" s="2"/>
      <c r="H500" s="2"/>
      <c r="J500" s="2"/>
      <c r="L500" s="2"/>
      <c r="M500" s="2"/>
      <c r="N500" s="2"/>
      <c r="O500" s="2"/>
      <c r="P500" s="2"/>
    </row>
    <row r="501">
      <c r="G501" s="2"/>
      <c r="H501" s="2"/>
      <c r="J501" s="2"/>
      <c r="L501" s="2"/>
      <c r="M501" s="2"/>
      <c r="N501" s="2"/>
      <c r="O501" s="2"/>
      <c r="P501" s="2"/>
    </row>
    <row r="502">
      <c r="G502" s="2"/>
      <c r="H502" s="2"/>
      <c r="J502" s="2"/>
      <c r="L502" s="2"/>
      <c r="M502" s="2"/>
      <c r="N502" s="2"/>
      <c r="O502" s="2"/>
      <c r="P502" s="2"/>
    </row>
    <row r="503">
      <c r="G503" s="2"/>
      <c r="H503" s="2"/>
      <c r="J503" s="2"/>
      <c r="L503" s="2"/>
      <c r="M503" s="2"/>
      <c r="N503" s="2"/>
      <c r="O503" s="2"/>
      <c r="P503" s="2"/>
    </row>
    <row r="504">
      <c r="G504" s="2"/>
      <c r="H504" s="2"/>
      <c r="J504" s="2"/>
      <c r="L504" s="2"/>
      <c r="M504" s="2"/>
      <c r="N504" s="2"/>
      <c r="O504" s="2"/>
      <c r="P504" s="2"/>
    </row>
    <row r="505">
      <c r="G505" s="2"/>
      <c r="H505" s="2"/>
      <c r="J505" s="2"/>
      <c r="L505" s="2"/>
      <c r="M505" s="2"/>
      <c r="N505" s="2"/>
      <c r="O505" s="2"/>
      <c r="P505" s="2"/>
    </row>
    <row r="506">
      <c r="G506" s="2"/>
      <c r="H506" s="2"/>
      <c r="J506" s="2"/>
      <c r="L506" s="2"/>
      <c r="M506" s="2"/>
      <c r="N506" s="2"/>
      <c r="O506" s="2"/>
      <c r="P506" s="2"/>
    </row>
    <row r="507">
      <c r="G507" s="2"/>
      <c r="H507" s="2"/>
      <c r="J507" s="2"/>
      <c r="L507" s="2"/>
      <c r="M507" s="2"/>
      <c r="N507" s="2"/>
      <c r="O507" s="2"/>
      <c r="P507" s="2"/>
    </row>
    <row r="508">
      <c r="G508" s="2"/>
      <c r="H508" s="2"/>
      <c r="J508" s="2"/>
      <c r="L508" s="2"/>
      <c r="M508" s="2"/>
      <c r="N508" s="2"/>
      <c r="O508" s="2"/>
      <c r="P508" s="2"/>
    </row>
    <row r="509">
      <c r="G509" s="2"/>
      <c r="H509" s="2"/>
      <c r="J509" s="2"/>
      <c r="L509" s="2"/>
      <c r="M509" s="2"/>
      <c r="N509" s="2"/>
      <c r="O509" s="2"/>
      <c r="P509" s="2"/>
    </row>
    <row r="510">
      <c r="G510" s="2"/>
      <c r="H510" s="2"/>
      <c r="J510" s="2"/>
      <c r="L510" s="2"/>
      <c r="M510" s="2"/>
      <c r="N510" s="2"/>
      <c r="O510" s="2"/>
      <c r="P510" s="2"/>
    </row>
    <row r="511">
      <c r="G511" s="2"/>
      <c r="H511" s="2"/>
      <c r="J511" s="2"/>
      <c r="L511" s="2"/>
      <c r="M511" s="2"/>
      <c r="N511" s="2"/>
      <c r="O511" s="2"/>
      <c r="P511" s="2"/>
    </row>
    <row r="512">
      <c r="G512" s="2"/>
      <c r="H512" s="2"/>
      <c r="J512" s="2"/>
      <c r="L512" s="2"/>
      <c r="M512" s="2"/>
      <c r="N512" s="2"/>
      <c r="O512" s="2"/>
      <c r="P512" s="2"/>
    </row>
    <row r="513">
      <c r="G513" s="2"/>
      <c r="H513" s="2"/>
      <c r="J513" s="2"/>
      <c r="L513" s="2"/>
      <c r="M513" s="2"/>
      <c r="N513" s="2"/>
      <c r="O513" s="2"/>
      <c r="P513" s="2"/>
    </row>
    <row r="514">
      <c r="G514" s="2"/>
      <c r="H514" s="2"/>
      <c r="J514" s="2"/>
      <c r="L514" s="2"/>
      <c r="M514" s="2"/>
      <c r="N514" s="2"/>
      <c r="O514" s="2"/>
      <c r="P514" s="2"/>
    </row>
    <row r="515">
      <c r="G515" s="2"/>
      <c r="H515" s="2"/>
      <c r="J515" s="2"/>
      <c r="L515" s="2"/>
      <c r="M515" s="2"/>
      <c r="N515" s="2"/>
      <c r="O515" s="2"/>
      <c r="P515" s="2"/>
    </row>
    <row r="516">
      <c r="G516" s="2"/>
      <c r="H516" s="2"/>
      <c r="J516" s="2"/>
      <c r="L516" s="2"/>
      <c r="M516" s="2"/>
      <c r="N516" s="2"/>
      <c r="O516" s="2"/>
      <c r="P516" s="2"/>
    </row>
    <row r="517">
      <c r="G517" s="2"/>
      <c r="H517" s="2"/>
      <c r="J517" s="2"/>
      <c r="L517" s="2"/>
      <c r="M517" s="2"/>
      <c r="N517" s="2"/>
      <c r="O517" s="2"/>
      <c r="P517" s="2"/>
    </row>
    <row r="518">
      <c r="G518" s="2"/>
      <c r="H518" s="2"/>
      <c r="J518" s="2"/>
      <c r="L518" s="2"/>
      <c r="M518" s="2"/>
      <c r="N518" s="2"/>
      <c r="O518" s="2"/>
      <c r="P518" s="2"/>
    </row>
    <row r="519">
      <c r="G519" s="2"/>
      <c r="H519" s="2"/>
      <c r="J519" s="2"/>
      <c r="L519" s="2"/>
      <c r="M519" s="2"/>
      <c r="N519" s="2"/>
      <c r="O519" s="2"/>
      <c r="P519" s="2"/>
    </row>
    <row r="520">
      <c r="G520" s="2"/>
      <c r="H520" s="2"/>
      <c r="J520" s="2"/>
      <c r="L520" s="2"/>
      <c r="M520" s="2"/>
      <c r="N520" s="2"/>
      <c r="O520" s="2"/>
      <c r="P520" s="2"/>
    </row>
    <row r="521">
      <c r="G521" s="2"/>
      <c r="H521" s="2"/>
      <c r="J521" s="2"/>
      <c r="L521" s="2"/>
      <c r="M521" s="2"/>
      <c r="N521" s="2"/>
      <c r="O521" s="2"/>
      <c r="P521" s="2"/>
    </row>
    <row r="522">
      <c r="G522" s="2"/>
      <c r="H522" s="2"/>
      <c r="J522" s="2"/>
      <c r="L522" s="2"/>
      <c r="M522" s="2"/>
      <c r="N522" s="2"/>
      <c r="O522" s="2"/>
      <c r="P522" s="2"/>
    </row>
    <row r="523">
      <c r="G523" s="2"/>
      <c r="H523" s="2"/>
      <c r="J523" s="2"/>
      <c r="L523" s="2"/>
      <c r="M523" s="2"/>
      <c r="N523" s="2"/>
      <c r="O523" s="2"/>
      <c r="P523" s="2"/>
    </row>
    <row r="524">
      <c r="G524" s="2"/>
      <c r="H524" s="2"/>
      <c r="J524" s="2"/>
      <c r="L524" s="2"/>
      <c r="M524" s="2"/>
      <c r="N524" s="2"/>
      <c r="O524" s="2"/>
      <c r="P524" s="2"/>
    </row>
    <row r="525">
      <c r="G525" s="2"/>
      <c r="H525" s="2"/>
      <c r="J525" s="2"/>
      <c r="L525" s="2"/>
      <c r="M525" s="2"/>
      <c r="N525" s="2"/>
      <c r="O525" s="2"/>
      <c r="P525" s="2"/>
    </row>
    <row r="526">
      <c r="G526" s="2"/>
      <c r="H526" s="2"/>
      <c r="J526" s="2"/>
      <c r="L526" s="2"/>
      <c r="M526" s="2"/>
      <c r="N526" s="2"/>
      <c r="O526" s="2"/>
      <c r="P526" s="2"/>
    </row>
    <row r="527">
      <c r="G527" s="2"/>
      <c r="H527" s="2"/>
      <c r="J527" s="2"/>
      <c r="L527" s="2"/>
      <c r="M527" s="2"/>
      <c r="N527" s="2"/>
      <c r="O527" s="2"/>
      <c r="P527" s="2"/>
    </row>
    <row r="528">
      <c r="G528" s="2"/>
      <c r="H528" s="2"/>
      <c r="J528" s="2"/>
      <c r="L528" s="2"/>
      <c r="M528" s="2"/>
      <c r="N528" s="2"/>
      <c r="O528" s="2"/>
      <c r="P528" s="2"/>
    </row>
    <row r="529">
      <c r="G529" s="2"/>
      <c r="H529" s="2"/>
      <c r="J529" s="2"/>
      <c r="L529" s="2"/>
      <c r="M529" s="2"/>
      <c r="N529" s="2"/>
      <c r="O529" s="2"/>
      <c r="P529" s="2"/>
    </row>
    <row r="530">
      <c r="G530" s="2"/>
      <c r="H530" s="2"/>
      <c r="J530" s="2"/>
      <c r="L530" s="2"/>
      <c r="M530" s="2"/>
      <c r="N530" s="2"/>
      <c r="O530" s="2"/>
      <c r="P530" s="2"/>
    </row>
    <row r="531">
      <c r="G531" s="2"/>
      <c r="H531" s="2"/>
      <c r="J531" s="2"/>
      <c r="L531" s="2"/>
      <c r="M531" s="2"/>
      <c r="N531" s="2"/>
      <c r="O531" s="2"/>
      <c r="P531" s="2"/>
    </row>
    <row r="532">
      <c r="G532" s="2"/>
      <c r="H532" s="2"/>
      <c r="J532" s="2"/>
      <c r="L532" s="2"/>
      <c r="M532" s="2"/>
      <c r="N532" s="2"/>
      <c r="O532" s="2"/>
      <c r="P532" s="2"/>
    </row>
    <row r="533">
      <c r="G533" s="2"/>
      <c r="H533" s="2"/>
      <c r="J533" s="2"/>
      <c r="L533" s="2"/>
      <c r="M533" s="2"/>
      <c r="N533" s="2"/>
      <c r="O533" s="2"/>
      <c r="P533" s="2"/>
    </row>
    <row r="534">
      <c r="G534" s="2"/>
      <c r="H534" s="2"/>
      <c r="J534" s="2"/>
      <c r="L534" s="2"/>
      <c r="M534" s="2"/>
      <c r="N534" s="2"/>
      <c r="O534" s="2"/>
      <c r="P534" s="2"/>
    </row>
    <row r="535">
      <c r="G535" s="2"/>
      <c r="H535" s="2"/>
      <c r="J535" s="2"/>
      <c r="L535" s="2"/>
      <c r="M535" s="2"/>
      <c r="N535" s="2"/>
      <c r="O535" s="2"/>
      <c r="P535" s="2"/>
    </row>
    <row r="536">
      <c r="G536" s="2"/>
      <c r="H536" s="2"/>
      <c r="J536" s="2"/>
      <c r="L536" s="2"/>
      <c r="M536" s="2"/>
      <c r="N536" s="2"/>
      <c r="O536" s="2"/>
      <c r="P536" s="2"/>
    </row>
    <row r="537">
      <c r="G537" s="2"/>
      <c r="H537" s="2"/>
      <c r="J537" s="2"/>
      <c r="L537" s="2"/>
      <c r="M537" s="2"/>
      <c r="N537" s="2"/>
      <c r="O537" s="2"/>
      <c r="P537" s="2"/>
    </row>
    <row r="538">
      <c r="G538" s="2"/>
      <c r="H538" s="2"/>
      <c r="J538" s="2"/>
      <c r="L538" s="2"/>
      <c r="M538" s="2"/>
      <c r="N538" s="2"/>
      <c r="O538" s="2"/>
      <c r="P538" s="2"/>
    </row>
    <row r="539">
      <c r="G539" s="2"/>
      <c r="H539" s="2"/>
      <c r="J539" s="2"/>
      <c r="L539" s="2"/>
      <c r="M539" s="2"/>
      <c r="N539" s="2"/>
      <c r="O539" s="2"/>
      <c r="P539" s="2"/>
    </row>
    <row r="540">
      <c r="G540" s="2"/>
      <c r="H540" s="2"/>
      <c r="J540" s="2"/>
      <c r="L540" s="2"/>
      <c r="M540" s="2"/>
      <c r="N540" s="2"/>
      <c r="O540" s="2"/>
      <c r="P540" s="2"/>
    </row>
    <row r="541">
      <c r="G541" s="2"/>
      <c r="H541" s="2"/>
      <c r="J541" s="2"/>
      <c r="L541" s="2"/>
      <c r="M541" s="2"/>
      <c r="N541" s="2"/>
      <c r="O541" s="2"/>
      <c r="P541" s="2"/>
    </row>
    <row r="542">
      <c r="G542" s="2"/>
      <c r="H542" s="2"/>
      <c r="J542" s="2"/>
      <c r="L542" s="2"/>
      <c r="M542" s="2"/>
      <c r="N542" s="2"/>
      <c r="O542" s="2"/>
      <c r="P542" s="2"/>
    </row>
    <row r="543">
      <c r="G543" s="2"/>
      <c r="H543" s="2"/>
      <c r="J543" s="2"/>
      <c r="L543" s="2"/>
      <c r="M543" s="2"/>
      <c r="N543" s="2"/>
      <c r="O543" s="2"/>
      <c r="P543" s="2"/>
    </row>
    <row r="544">
      <c r="G544" s="2"/>
      <c r="H544" s="2"/>
      <c r="J544" s="2"/>
      <c r="L544" s="2"/>
      <c r="M544" s="2"/>
      <c r="N544" s="2"/>
      <c r="O544" s="2"/>
      <c r="P544" s="2"/>
    </row>
    <row r="545">
      <c r="G545" s="2"/>
      <c r="H545" s="2"/>
      <c r="J545" s="2"/>
      <c r="L545" s="2"/>
      <c r="M545" s="2"/>
      <c r="N545" s="2"/>
      <c r="O545" s="2"/>
      <c r="P545" s="2"/>
    </row>
    <row r="546">
      <c r="G546" s="2"/>
      <c r="H546" s="2"/>
      <c r="J546" s="2"/>
      <c r="L546" s="2"/>
      <c r="M546" s="2"/>
      <c r="N546" s="2"/>
      <c r="O546" s="2"/>
      <c r="P546" s="2"/>
    </row>
    <row r="547">
      <c r="G547" s="2"/>
      <c r="H547" s="2"/>
      <c r="J547" s="2"/>
      <c r="L547" s="2"/>
      <c r="M547" s="2"/>
      <c r="N547" s="2"/>
      <c r="O547" s="2"/>
      <c r="P547" s="2"/>
    </row>
    <row r="548">
      <c r="G548" s="2"/>
      <c r="H548" s="2"/>
      <c r="J548" s="2"/>
      <c r="L548" s="2"/>
      <c r="M548" s="2"/>
      <c r="N548" s="2"/>
      <c r="O548" s="2"/>
      <c r="P548" s="2"/>
    </row>
    <row r="549">
      <c r="G549" s="2"/>
      <c r="H549" s="2"/>
      <c r="J549" s="2"/>
      <c r="L549" s="2"/>
      <c r="M549" s="2"/>
      <c r="N549" s="2"/>
      <c r="O549" s="2"/>
      <c r="P549" s="2"/>
    </row>
    <row r="550">
      <c r="G550" s="2"/>
      <c r="H550" s="2"/>
      <c r="J550" s="2"/>
      <c r="L550" s="2"/>
      <c r="M550" s="2"/>
      <c r="N550" s="2"/>
      <c r="O550" s="2"/>
      <c r="P550" s="2"/>
    </row>
    <row r="551">
      <c r="G551" s="2"/>
      <c r="H551" s="2"/>
      <c r="J551" s="2"/>
      <c r="L551" s="2"/>
      <c r="M551" s="2"/>
      <c r="N551" s="2"/>
      <c r="O551" s="2"/>
      <c r="P551" s="2"/>
    </row>
    <row r="552">
      <c r="G552" s="2"/>
      <c r="H552" s="2"/>
      <c r="J552" s="2"/>
      <c r="L552" s="2"/>
      <c r="M552" s="2"/>
      <c r="N552" s="2"/>
      <c r="O552" s="2"/>
      <c r="P552" s="2"/>
    </row>
    <row r="553">
      <c r="G553" s="2"/>
      <c r="H553" s="2"/>
      <c r="J553" s="2"/>
      <c r="L553" s="2"/>
      <c r="M553" s="2"/>
      <c r="N553" s="2"/>
      <c r="O553" s="2"/>
      <c r="P553" s="2"/>
    </row>
    <row r="554">
      <c r="G554" s="2"/>
      <c r="H554" s="2"/>
      <c r="J554" s="2"/>
      <c r="L554" s="2"/>
      <c r="M554" s="2"/>
      <c r="N554" s="2"/>
      <c r="O554" s="2"/>
      <c r="P554" s="2"/>
    </row>
    <row r="555">
      <c r="G555" s="2"/>
      <c r="H555" s="2"/>
      <c r="J555" s="2"/>
      <c r="L555" s="2"/>
      <c r="M555" s="2"/>
      <c r="N555" s="2"/>
      <c r="O555" s="2"/>
      <c r="P555" s="2"/>
    </row>
    <row r="556">
      <c r="G556" s="2"/>
      <c r="H556" s="2"/>
      <c r="J556" s="2"/>
      <c r="L556" s="2"/>
      <c r="M556" s="2"/>
      <c r="N556" s="2"/>
      <c r="O556" s="2"/>
      <c r="P556" s="2"/>
    </row>
    <row r="557">
      <c r="G557" s="2"/>
      <c r="H557" s="2"/>
      <c r="J557" s="2"/>
      <c r="L557" s="2"/>
      <c r="M557" s="2"/>
      <c r="N557" s="2"/>
      <c r="O557" s="2"/>
      <c r="P557" s="2"/>
    </row>
    <row r="558">
      <c r="G558" s="2"/>
      <c r="H558" s="2"/>
      <c r="J558" s="2"/>
      <c r="L558" s="2"/>
      <c r="M558" s="2"/>
      <c r="N558" s="2"/>
      <c r="O558" s="2"/>
      <c r="P558" s="2"/>
    </row>
    <row r="559">
      <c r="G559" s="2"/>
      <c r="H559" s="2"/>
      <c r="J559" s="2"/>
      <c r="L559" s="2"/>
      <c r="M559" s="2"/>
      <c r="N559" s="2"/>
      <c r="O559" s="2"/>
      <c r="P559" s="2"/>
    </row>
    <row r="560">
      <c r="G560" s="2"/>
      <c r="H560" s="2"/>
      <c r="J560" s="2"/>
      <c r="L560" s="2"/>
      <c r="M560" s="2"/>
      <c r="N560" s="2"/>
      <c r="O560" s="2"/>
      <c r="P560" s="2"/>
    </row>
    <row r="561">
      <c r="G561" s="2"/>
      <c r="H561" s="2"/>
      <c r="J561" s="2"/>
      <c r="L561" s="2"/>
      <c r="M561" s="2"/>
      <c r="N561" s="2"/>
      <c r="O561" s="2"/>
      <c r="P561" s="2"/>
    </row>
    <row r="562">
      <c r="G562" s="2"/>
      <c r="H562" s="2"/>
      <c r="J562" s="2"/>
      <c r="L562" s="2"/>
      <c r="M562" s="2"/>
      <c r="N562" s="2"/>
      <c r="O562" s="2"/>
      <c r="P562" s="2"/>
    </row>
    <row r="563">
      <c r="G563" s="2"/>
      <c r="H563" s="2"/>
      <c r="J563" s="2"/>
      <c r="L563" s="2"/>
      <c r="M563" s="2"/>
      <c r="N563" s="2"/>
      <c r="O563" s="2"/>
      <c r="P563" s="2"/>
    </row>
    <row r="564">
      <c r="G564" s="2"/>
      <c r="H564" s="2"/>
      <c r="J564" s="2"/>
      <c r="L564" s="2"/>
      <c r="M564" s="2"/>
      <c r="N564" s="2"/>
      <c r="O564" s="2"/>
      <c r="P564" s="2"/>
    </row>
    <row r="565">
      <c r="G565" s="2"/>
      <c r="H565" s="2"/>
      <c r="J565" s="2"/>
      <c r="L565" s="2"/>
      <c r="M565" s="2"/>
      <c r="N565" s="2"/>
      <c r="O565" s="2"/>
      <c r="P565" s="2"/>
    </row>
    <row r="566">
      <c r="G566" s="2"/>
      <c r="H566" s="2"/>
      <c r="J566" s="2"/>
      <c r="L566" s="2"/>
      <c r="M566" s="2"/>
      <c r="N566" s="2"/>
      <c r="O566" s="2"/>
      <c r="P566" s="2"/>
    </row>
    <row r="567">
      <c r="G567" s="2"/>
      <c r="H567" s="2"/>
      <c r="J567" s="2"/>
      <c r="L567" s="2"/>
      <c r="M567" s="2"/>
      <c r="N567" s="2"/>
      <c r="O567" s="2"/>
      <c r="P567" s="2"/>
    </row>
    <row r="568">
      <c r="G568" s="2"/>
      <c r="H568" s="2"/>
      <c r="J568" s="2"/>
      <c r="L568" s="2"/>
      <c r="M568" s="2"/>
      <c r="N568" s="2"/>
      <c r="O568" s="2"/>
      <c r="P568" s="2"/>
    </row>
    <row r="569">
      <c r="G569" s="2"/>
      <c r="H569" s="2"/>
      <c r="J569" s="2"/>
      <c r="L569" s="2"/>
      <c r="M569" s="2"/>
      <c r="N569" s="2"/>
      <c r="O569" s="2"/>
      <c r="P569" s="2"/>
    </row>
    <row r="570">
      <c r="G570" s="2"/>
      <c r="H570" s="2"/>
      <c r="J570" s="2"/>
      <c r="L570" s="2"/>
      <c r="M570" s="2"/>
      <c r="N570" s="2"/>
      <c r="O570" s="2"/>
      <c r="P570" s="2"/>
    </row>
    <row r="571">
      <c r="G571" s="2"/>
      <c r="H571" s="2"/>
      <c r="J571" s="2"/>
      <c r="L571" s="2"/>
      <c r="M571" s="2"/>
      <c r="N571" s="2"/>
      <c r="O571" s="2"/>
      <c r="P571" s="2"/>
    </row>
    <row r="572">
      <c r="G572" s="2"/>
      <c r="H572" s="2"/>
      <c r="J572" s="2"/>
      <c r="L572" s="2"/>
      <c r="M572" s="2"/>
      <c r="N572" s="2"/>
      <c r="O572" s="2"/>
      <c r="P572" s="2"/>
    </row>
    <row r="573">
      <c r="G573" s="2"/>
      <c r="H573" s="2"/>
      <c r="J573" s="2"/>
      <c r="L573" s="2"/>
      <c r="M573" s="2"/>
      <c r="N573" s="2"/>
      <c r="O573" s="2"/>
      <c r="P573" s="2"/>
    </row>
    <row r="574">
      <c r="G574" s="2"/>
      <c r="H574" s="2"/>
      <c r="J574" s="2"/>
      <c r="L574" s="2"/>
      <c r="M574" s="2"/>
      <c r="N574" s="2"/>
      <c r="O574" s="2"/>
      <c r="P574" s="2"/>
    </row>
    <row r="575">
      <c r="G575" s="2"/>
      <c r="H575" s="2"/>
      <c r="J575" s="2"/>
      <c r="L575" s="2"/>
      <c r="M575" s="2"/>
      <c r="N575" s="2"/>
      <c r="O575" s="2"/>
      <c r="P575" s="2"/>
    </row>
    <row r="576">
      <c r="G576" s="2"/>
      <c r="H576" s="2"/>
      <c r="J576" s="2"/>
      <c r="L576" s="2"/>
      <c r="M576" s="2"/>
      <c r="N576" s="2"/>
      <c r="O576" s="2"/>
      <c r="P576" s="2"/>
    </row>
    <row r="577">
      <c r="G577" s="2"/>
      <c r="H577" s="2"/>
      <c r="J577" s="2"/>
      <c r="L577" s="2"/>
      <c r="M577" s="2"/>
      <c r="N577" s="2"/>
      <c r="O577" s="2"/>
      <c r="P577" s="2"/>
    </row>
    <row r="578">
      <c r="G578" s="2"/>
      <c r="H578" s="2"/>
      <c r="J578" s="2"/>
      <c r="L578" s="2"/>
      <c r="M578" s="2"/>
      <c r="N578" s="2"/>
      <c r="O578" s="2"/>
      <c r="P578" s="2"/>
    </row>
    <row r="579">
      <c r="G579" s="2"/>
      <c r="H579" s="2"/>
      <c r="J579" s="2"/>
      <c r="L579" s="2"/>
      <c r="M579" s="2"/>
      <c r="N579" s="2"/>
      <c r="O579" s="2"/>
      <c r="P579" s="2"/>
    </row>
    <row r="580">
      <c r="G580" s="2"/>
      <c r="H580" s="2"/>
      <c r="J580" s="2"/>
      <c r="L580" s="2"/>
      <c r="M580" s="2"/>
      <c r="N580" s="2"/>
      <c r="O580" s="2"/>
      <c r="P580" s="2"/>
    </row>
    <row r="581">
      <c r="G581" s="2"/>
      <c r="H581" s="2"/>
      <c r="J581" s="2"/>
      <c r="L581" s="2"/>
      <c r="M581" s="2"/>
      <c r="N581" s="2"/>
      <c r="O581" s="2"/>
      <c r="P581" s="2"/>
    </row>
    <row r="582">
      <c r="G582" s="2"/>
      <c r="H582" s="2"/>
      <c r="J582" s="2"/>
      <c r="L582" s="2"/>
      <c r="M582" s="2"/>
      <c r="N582" s="2"/>
      <c r="O582" s="2"/>
      <c r="P582" s="2"/>
    </row>
    <row r="583">
      <c r="G583" s="2"/>
      <c r="H583" s="2"/>
      <c r="J583" s="2"/>
      <c r="L583" s="2"/>
      <c r="M583" s="2"/>
      <c r="N583" s="2"/>
      <c r="O583" s="2"/>
      <c r="P583" s="2"/>
    </row>
    <row r="584">
      <c r="G584" s="2"/>
      <c r="H584" s="2"/>
      <c r="J584" s="2"/>
      <c r="L584" s="2"/>
      <c r="M584" s="2"/>
      <c r="N584" s="2"/>
      <c r="O584" s="2"/>
      <c r="P584" s="2"/>
    </row>
    <row r="585">
      <c r="G585" s="2"/>
      <c r="H585" s="2"/>
      <c r="J585" s="2"/>
      <c r="L585" s="2"/>
      <c r="M585" s="2"/>
      <c r="N585" s="2"/>
      <c r="O585" s="2"/>
      <c r="P585" s="2"/>
    </row>
    <row r="586">
      <c r="G586" s="2"/>
      <c r="H586" s="2"/>
      <c r="J586" s="2"/>
      <c r="L586" s="2"/>
      <c r="M586" s="2"/>
      <c r="N586" s="2"/>
      <c r="O586" s="2"/>
      <c r="P586" s="2"/>
    </row>
    <row r="587">
      <c r="G587" s="2"/>
      <c r="H587" s="2"/>
      <c r="J587" s="2"/>
      <c r="L587" s="2"/>
      <c r="M587" s="2"/>
      <c r="N587" s="2"/>
      <c r="O587" s="2"/>
      <c r="P587" s="2"/>
    </row>
    <row r="588">
      <c r="G588" s="2"/>
      <c r="H588" s="2"/>
      <c r="J588" s="2"/>
      <c r="L588" s="2"/>
      <c r="M588" s="2"/>
      <c r="N588" s="2"/>
      <c r="O588" s="2"/>
      <c r="P588" s="2"/>
    </row>
    <row r="589">
      <c r="G589" s="2"/>
      <c r="H589" s="2"/>
      <c r="J589" s="2"/>
      <c r="L589" s="2"/>
      <c r="M589" s="2"/>
      <c r="N589" s="2"/>
      <c r="O589" s="2"/>
      <c r="P589" s="2"/>
    </row>
    <row r="590">
      <c r="G590" s="2"/>
      <c r="H590" s="2"/>
      <c r="J590" s="2"/>
      <c r="L590" s="2"/>
      <c r="M590" s="2"/>
      <c r="N590" s="2"/>
      <c r="O590" s="2"/>
      <c r="P590" s="2"/>
    </row>
    <row r="591">
      <c r="G591" s="2"/>
      <c r="H591" s="2"/>
      <c r="J591" s="2"/>
      <c r="L591" s="2"/>
      <c r="M591" s="2"/>
      <c r="N591" s="2"/>
      <c r="O591" s="2"/>
      <c r="P591" s="2"/>
    </row>
    <row r="592">
      <c r="G592" s="2"/>
      <c r="H592" s="2"/>
      <c r="J592" s="2"/>
      <c r="L592" s="2"/>
      <c r="M592" s="2"/>
      <c r="N592" s="2"/>
      <c r="O592" s="2"/>
      <c r="P592" s="2"/>
    </row>
    <row r="593">
      <c r="G593" s="2"/>
      <c r="H593" s="2"/>
      <c r="J593" s="2"/>
      <c r="L593" s="2"/>
      <c r="M593" s="2"/>
      <c r="N593" s="2"/>
      <c r="O593" s="2"/>
      <c r="P593" s="2"/>
    </row>
    <row r="594">
      <c r="G594" s="2"/>
      <c r="H594" s="2"/>
      <c r="J594" s="2"/>
      <c r="L594" s="2"/>
      <c r="M594" s="2"/>
      <c r="N594" s="2"/>
      <c r="O594" s="2"/>
      <c r="P594" s="2"/>
    </row>
    <row r="595">
      <c r="G595" s="2"/>
      <c r="H595" s="2"/>
      <c r="J595" s="2"/>
      <c r="L595" s="2"/>
      <c r="M595" s="2"/>
      <c r="N595" s="2"/>
      <c r="O595" s="2"/>
      <c r="P595" s="2"/>
    </row>
    <row r="596">
      <c r="G596" s="2"/>
      <c r="H596" s="2"/>
      <c r="J596" s="2"/>
      <c r="L596" s="2"/>
      <c r="M596" s="2"/>
      <c r="N596" s="2"/>
      <c r="O596" s="2"/>
      <c r="P596" s="2"/>
    </row>
    <row r="597">
      <c r="G597" s="2"/>
      <c r="H597" s="2"/>
      <c r="J597" s="2"/>
      <c r="L597" s="2"/>
      <c r="M597" s="2"/>
      <c r="N597" s="2"/>
      <c r="O597" s="2"/>
      <c r="P597" s="2"/>
    </row>
    <row r="598">
      <c r="G598" s="2"/>
      <c r="H598" s="2"/>
      <c r="J598" s="2"/>
      <c r="L598" s="2"/>
      <c r="M598" s="2"/>
      <c r="N598" s="2"/>
      <c r="O598" s="2"/>
      <c r="P598" s="2"/>
    </row>
    <row r="599">
      <c r="G599" s="2"/>
      <c r="H599" s="2"/>
      <c r="J599" s="2"/>
      <c r="L599" s="2"/>
      <c r="M599" s="2"/>
      <c r="N599" s="2"/>
      <c r="O599" s="2"/>
      <c r="P599" s="2"/>
    </row>
    <row r="600">
      <c r="G600" s="2"/>
      <c r="H600" s="2"/>
      <c r="J600" s="2"/>
      <c r="L600" s="2"/>
      <c r="M600" s="2"/>
      <c r="N600" s="2"/>
      <c r="O600" s="2"/>
      <c r="P600" s="2"/>
    </row>
    <row r="601">
      <c r="G601" s="2"/>
      <c r="H601" s="2"/>
      <c r="J601" s="2"/>
      <c r="L601" s="2"/>
      <c r="M601" s="2"/>
      <c r="N601" s="2"/>
      <c r="O601" s="2"/>
      <c r="P601" s="2"/>
    </row>
    <row r="602">
      <c r="G602" s="2"/>
      <c r="H602" s="2"/>
      <c r="J602" s="2"/>
      <c r="L602" s="2"/>
      <c r="M602" s="2"/>
      <c r="N602" s="2"/>
      <c r="O602" s="2"/>
      <c r="P602" s="2"/>
    </row>
    <row r="603">
      <c r="G603" s="2"/>
      <c r="H603" s="2"/>
      <c r="J603" s="2"/>
      <c r="L603" s="2"/>
      <c r="M603" s="2"/>
      <c r="N603" s="2"/>
      <c r="O603" s="2"/>
      <c r="P603" s="2"/>
    </row>
    <row r="604">
      <c r="G604" s="2"/>
      <c r="H604" s="2"/>
      <c r="J604" s="2"/>
      <c r="L604" s="2"/>
      <c r="M604" s="2"/>
      <c r="N604" s="2"/>
      <c r="O604" s="2"/>
      <c r="P604" s="2"/>
    </row>
    <row r="605">
      <c r="G605" s="2"/>
      <c r="H605" s="2"/>
      <c r="J605" s="2"/>
      <c r="L605" s="2"/>
      <c r="M605" s="2"/>
      <c r="N605" s="2"/>
      <c r="O605" s="2"/>
      <c r="P605" s="2"/>
    </row>
    <row r="606">
      <c r="G606" s="2"/>
      <c r="H606" s="2"/>
      <c r="J606" s="2"/>
      <c r="L606" s="2"/>
      <c r="M606" s="2"/>
      <c r="N606" s="2"/>
      <c r="O606" s="2"/>
      <c r="P606" s="2"/>
    </row>
    <row r="607">
      <c r="G607" s="2"/>
      <c r="H607" s="2"/>
      <c r="J607" s="2"/>
      <c r="L607" s="2"/>
      <c r="M607" s="2"/>
      <c r="N607" s="2"/>
      <c r="O607" s="2"/>
      <c r="P607" s="2"/>
    </row>
    <row r="608">
      <c r="G608" s="2"/>
      <c r="H608" s="2"/>
      <c r="J608" s="2"/>
      <c r="L608" s="2"/>
      <c r="M608" s="2"/>
      <c r="N608" s="2"/>
      <c r="O608" s="2"/>
      <c r="P608" s="2"/>
    </row>
    <row r="609">
      <c r="G609" s="2"/>
      <c r="H609" s="2"/>
      <c r="J609" s="2"/>
      <c r="L609" s="2"/>
      <c r="M609" s="2"/>
      <c r="N609" s="2"/>
      <c r="O609" s="2"/>
      <c r="P609" s="2"/>
    </row>
    <row r="610">
      <c r="G610" s="2"/>
      <c r="H610" s="2"/>
      <c r="J610" s="2"/>
      <c r="L610" s="2"/>
      <c r="M610" s="2"/>
      <c r="N610" s="2"/>
      <c r="O610" s="2"/>
      <c r="P610" s="2"/>
    </row>
    <row r="611">
      <c r="G611" s="2"/>
      <c r="H611" s="2"/>
      <c r="J611" s="2"/>
      <c r="L611" s="2"/>
      <c r="M611" s="2"/>
      <c r="N611" s="2"/>
      <c r="O611" s="2"/>
      <c r="P611" s="2"/>
    </row>
    <row r="612">
      <c r="G612" s="2"/>
      <c r="H612" s="2"/>
      <c r="J612" s="2"/>
      <c r="L612" s="2"/>
      <c r="M612" s="2"/>
      <c r="N612" s="2"/>
      <c r="O612" s="2"/>
      <c r="P612" s="2"/>
    </row>
    <row r="613">
      <c r="G613" s="2"/>
      <c r="H613" s="2"/>
      <c r="J613" s="2"/>
      <c r="L613" s="2"/>
      <c r="M613" s="2"/>
      <c r="N613" s="2"/>
      <c r="O613" s="2"/>
      <c r="P613" s="2"/>
    </row>
    <row r="614">
      <c r="G614" s="2"/>
      <c r="H614" s="2"/>
      <c r="J614" s="2"/>
      <c r="L614" s="2"/>
      <c r="M614" s="2"/>
      <c r="N614" s="2"/>
      <c r="O614" s="2"/>
      <c r="P614" s="2"/>
    </row>
    <row r="615">
      <c r="G615" s="2"/>
      <c r="H615" s="2"/>
      <c r="J615" s="2"/>
      <c r="L615" s="2"/>
      <c r="M615" s="2"/>
      <c r="N615" s="2"/>
      <c r="O615" s="2"/>
      <c r="P615" s="2"/>
    </row>
    <row r="616">
      <c r="G616" s="2"/>
      <c r="H616" s="2"/>
      <c r="J616" s="2"/>
      <c r="L616" s="2"/>
      <c r="M616" s="2"/>
      <c r="N616" s="2"/>
      <c r="O616" s="2"/>
      <c r="P616" s="2"/>
    </row>
    <row r="617">
      <c r="G617" s="2"/>
      <c r="H617" s="2"/>
      <c r="J617" s="2"/>
      <c r="L617" s="2"/>
      <c r="M617" s="2"/>
      <c r="N617" s="2"/>
      <c r="O617" s="2"/>
      <c r="P617" s="2"/>
    </row>
    <row r="618">
      <c r="G618" s="2"/>
      <c r="H618" s="2"/>
      <c r="J618" s="2"/>
      <c r="L618" s="2"/>
      <c r="M618" s="2"/>
      <c r="N618" s="2"/>
      <c r="O618" s="2"/>
      <c r="P618" s="2"/>
    </row>
    <row r="619">
      <c r="G619" s="2"/>
      <c r="H619" s="2"/>
      <c r="J619" s="2"/>
      <c r="L619" s="2"/>
      <c r="M619" s="2"/>
      <c r="N619" s="2"/>
      <c r="O619" s="2"/>
      <c r="P619" s="2"/>
    </row>
    <row r="620">
      <c r="G620" s="2"/>
      <c r="H620" s="2"/>
      <c r="J620" s="2"/>
      <c r="L620" s="2"/>
      <c r="M620" s="2"/>
      <c r="N620" s="2"/>
      <c r="O620" s="2"/>
      <c r="P620" s="2"/>
    </row>
    <row r="621">
      <c r="G621" s="2"/>
      <c r="H621" s="2"/>
      <c r="J621" s="2"/>
      <c r="L621" s="2"/>
      <c r="M621" s="2"/>
      <c r="N621" s="2"/>
      <c r="O621" s="2"/>
      <c r="P621" s="2"/>
    </row>
    <row r="622">
      <c r="G622" s="2"/>
      <c r="H622" s="2"/>
      <c r="J622" s="2"/>
      <c r="L622" s="2"/>
      <c r="M622" s="2"/>
      <c r="N622" s="2"/>
      <c r="O622" s="2"/>
      <c r="P622" s="2"/>
    </row>
    <row r="623">
      <c r="G623" s="2"/>
      <c r="H623" s="2"/>
      <c r="J623" s="2"/>
      <c r="L623" s="2"/>
      <c r="M623" s="2"/>
      <c r="N623" s="2"/>
      <c r="O623" s="2"/>
      <c r="P623" s="2"/>
    </row>
    <row r="624">
      <c r="G624" s="2"/>
      <c r="H624" s="2"/>
      <c r="J624" s="2"/>
      <c r="L624" s="2"/>
      <c r="M624" s="2"/>
      <c r="N624" s="2"/>
      <c r="O624" s="2"/>
      <c r="P624" s="2"/>
    </row>
    <row r="625">
      <c r="G625" s="2"/>
      <c r="H625" s="2"/>
      <c r="J625" s="2"/>
      <c r="L625" s="2"/>
      <c r="M625" s="2"/>
      <c r="N625" s="2"/>
      <c r="O625" s="2"/>
      <c r="P625" s="2"/>
    </row>
    <row r="626">
      <c r="G626" s="2"/>
      <c r="H626" s="2"/>
      <c r="J626" s="2"/>
      <c r="L626" s="2"/>
      <c r="M626" s="2"/>
      <c r="N626" s="2"/>
      <c r="O626" s="2"/>
      <c r="P626" s="2"/>
    </row>
    <row r="627">
      <c r="G627" s="2"/>
      <c r="H627" s="2"/>
      <c r="J627" s="2"/>
      <c r="L627" s="2"/>
      <c r="M627" s="2"/>
      <c r="N627" s="2"/>
      <c r="O627" s="2"/>
      <c r="P627" s="2"/>
    </row>
    <row r="628">
      <c r="G628" s="2"/>
      <c r="H628" s="2"/>
      <c r="J628" s="2"/>
      <c r="L628" s="2"/>
      <c r="M628" s="2"/>
      <c r="N628" s="2"/>
      <c r="O628" s="2"/>
      <c r="P628" s="2"/>
    </row>
    <row r="629">
      <c r="G629" s="2"/>
      <c r="H629" s="2"/>
      <c r="J629" s="2"/>
      <c r="L629" s="2"/>
      <c r="M629" s="2"/>
      <c r="N629" s="2"/>
      <c r="O629" s="2"/>
      <c r="P629" s="2"/>
    </row>
    <row r="630">
      <c r="G630" s="2"/>
      <c r="H630" s="2"/>
      <c r="J630" s="2"/>
      <c r="L630" s="2"/>
      <c r="M630" s="2"/>
      <c r="N630" s="2"/>
      <c r="O630" s="2"/>
      <c r="P630" s="2"/>
    </row>
    <row r="631">
      <c r="G631" s="2"/>
      <c r="H631" s="2"/>
      <c r="J631" s="2"/>
      <c r="L631" s="2"/>
      <c r="M631" s="2"/>
      <c r="N631" s="2"/>
      <c r="O631" s="2"/>
      <c r="P631" s="2"/>
    </row>
    <row r="632">
      <c r="G632" s="2"/>
      <c r="H632" s="2"/>
      <c r="J632" s="2"/>
      <c r="L632" s="2"/>
      <c r="M632" s="2"/>
      <c r="N632" s="2"/>
      <c r="O632" s="2"/>
      <c r="P632" s="2"/>
    </row>
    <row r="633">
      <c r="G633" s="2"/>
      <c r="H633" s="2"/>
      <c r="J633" s="2"/>
      <c r="L633" s="2"/>
      <c r="M633" s="2"/>
      <c r="N633" s="2"/>
      <c r="O633" s="2"/>
      <c r="P633" s="2"/>
    </row>
    <row r="634">
      <c r="G634" s="2"/>
      <c r="H634" s="2"/>
      <c r="J634" s="2"/>
      <c r="L634" s="2"/>
      <c r="M634" s="2"/>
      <c r="N634" s="2"/>
      <c r="O634" s="2"/>
      <c r="P634" s="2"/>
    </row>
    <row r="635">
      <c r="G635" s="2"/>
      <c r="H635" s="2"/>
      <c r="J635" s="2"/>
      <c r="L635" s="2"/>
      <c r="M635" s="2"/>
      <c r="N635" s="2"/>
      <c r="O635" s="2"/>
      <c r="P635" s="2"/>
    </row>
    <row r="636">
      <c r="G636" s="2"/>
      <c r="H636" s="2"/>
      <c r="J636" s="2"/>
      <c r="L636" s="2"/>
      <c r="M636" s="2"/>
      <c r="N636" s="2"/>
      <c r="O636" s="2"/>
      <c r="P636" s="2"/>
    </row>
    <row r="637">
      <c r="G637" s="2"/>
      <c r="H637" s="2"/>
      <c r="J637" s="2"/>
      <c r="L637" s="2"/>
      <c r="M637" s="2"/>
      <c r="N637" s="2"/>
      <c r="O637" s="2"/>
      <c r="P637" s="2"/>
    </row>
    <row r="638">
      <c r="G638" s="2"/>
      <c r="H638" s="2"/>
      <c r="J638" s="2"/>
      <c r="L638" s="2"/>
      <c r="M638" s="2"/>
      <c r="N638" s="2"/>
      <c r="O638" s="2"/>
      <c r="P638" s="2"/>
    </row>
    <row r="639">
      <c r="G639" s="2"/>
      <c r="H639" s="2"/>
      <c r="J639" s="2"/>
      <c r="L639" s="2"/>
      <c r="M639" s="2"/>
      <c r="N639" s="2"/>
      <c r="O639" s="2"/>
      <c r="P639" s="2"/>
    </row>
    <row r="640">
      <c r="G640" s="2"/>
      <c r="H640" s="2"/>
      <c r="J640" s="2"/>
      <c r="L640" s="2"/>
      <c r="M640" s="2"/>
      <c r="N640" s="2"/>
      <c r="O640" s="2"/>
      <c r="P640" s="2"/>
    </row>
    <row r="641">
      <c r="G641" s="2"/>
      <c r="H641" s="2"/>
      <c r="J641" s="2"/>
      <c r="L641" s="2"/>
      <c r="M641" s="2"/>
      <c r="N641" s="2"/>
      <c r="O641" s="2"/>
      <c r="P641" s="2"/>
    </row>
    <row r="642">
      <c r="G642" s="2"/>
      <c r="H642" s="2"/>
      <c r="J642" s="2"/>
      <c r="L642" s="2"/>
      <c r="M642" s="2"/>
      <c r="N642" s="2"/>
      <c r="O642" s="2"/>
      <c r="P642" s="2"/>
    </row>
    <row r="643">
      <c r="G643" s="2"/>
      <c r="H643" s="2"/>
      <c r="J643" s="2"/>
      <c r="L643" s="2"/>
      <c r="M643" s="2"/>
      <c r="N643" s="2"/>
      <c r="O643" s="2"/>
      <c r="P643" s="2"/>
    </row>
    <row r="644">
      <c r="G644" s="2"/>
      <c r="H644" s="2"/>
      <c r="J644" s="2"/>
      <c r="L644" s="2"/>
      <c r="M644" s="2"/>
      <c r="N644" s="2"/>
      <c r="O644" s="2"/>
      <c r="P644" s="2"/>
    </row>
    <row r="645">
      <c r="G645" s="2"/>
      <c r="H645" s="2"/>
      <c r="J645" s="2"/>
      <c r="L645" s="2"/>
      <c r="M645" s="2"/>
      <c r="N645" s="2"/>
      <c r="O645" s="2"/>
      <c r="P645" s="2"/>
    </row>
    <row r="646">
      <c r="G646" s="2"/>
      <c r="H646" s="2"/>
      <c r="J646" s="2"/>
      <c r="L646" s="2"/>
      <c r="M646" s="2"/>
      <c r="N646" s="2"/>
      <c r="O646" s="2"/>
      <c r="P646" s="2"/>
    </row>
    <row r="647">
      <c r="G647" s="2"/>
      <c r="H647" s="2"/>
      <c r="J647" s="2"/>
      <c r="L647" s="2"/>
      <c r="M647" s="2"/>
      <c r="N647" s="2"/>
      <c r="O647" s="2"/>
      <c r="P647" s="2"/>
    </row>
    <row r="648">
      <c r="G648" s="2"/>
      <c r="H648" s="2"/>
      <c r="J648" s="2"/>
      <c r="L648" s="2"/>
      <c r="M648" s="2"/>
      <c r="N648" s="2"/>
      <c r="O648" s="2"/>
      <c r="P648" s="2"/>
    </row>
    <row r="649">
      <c r="G649" s="2"/>
      <c r="H649" s="2"/>
      <c r="J649" s="2"/>
      <c r="L649" s="2"/>
      <c r="M649" s="2"/>
      <c r="N649" s="2"/>
      <c r="O649" s="2"/>
      <c r="P649" s="2"/>
    </row>
    <row r="650">
      <c r="G650" s="2"/>
      <c r="H650" s="2"/>
      <c r="J650" s="2"/>
      <c r="L650" s="2"/>
      <c r="M650" s="2"/>
      <c r="N650" s="2"/>
      <c r="O650" s="2"/>
      <c r="P650" s="2"/>
    </row>
    <row r="651">
      <c r="G651" s="2"/>
      <c r="H651" s="2"/>
      <c r="J651" s="2"/>
      <c r="L651" s="2"/>
      <c r="M651" s="2"/>
      <c r="N651" s="2"/>
      <c r="O651" s="2"/>
      <c r="P651" s="2"/>
    </row>
    <row r="652">
      <c r="G652" s="2"/>
      <c r="H652" s="2"/>
      <c r="J652" s="2"/>
      <c r="L652" s="2"/>
      <c r="M652" s="2"/>
      <c r="N652" s="2"/>
      <c r="O652" s="2"/>
      <c r="P652" s="2"/>
    </row>
    <row r="653">
      <c r="G653" s="2"/>
      <c r="H653" s="2"/>
      <c r="J653" s="2"/>
      <c r="L653" s="2"/>
      <c r="M653" s="2"/>
      <c r="N653" s="2"/>
      <c r="O653" s="2"/>
      <c r="P653" s="2"/>
    </row>
    <row r="654">
      <c r="G654" s="2"/>
      <c r="H654" s="2"/>
      <c r="J654" s="2"/>
      <c r="L654" s="2"/>
      <c r="M654" s="2"/>
      <c r="N654" s="2"/>
      <c r="O654" s="2"/>
      <c r="P654" s="2"/>
    </row>
    <row r="655">
      <c r="G655" s="2"/>
      <c r="H655" s="2"/>
      <c r="J655" s="2"/>
      <c r="L655" s="2"/>
      <c r="M655" s="2"/>
      <c r="N655" s="2"/>
      <c r="O655" s="2"/>
      <c r="P655" s="2"/>
    </row>
    <row r="656">
      <c r="G656" s="2"/>
      <c r="H656" s="2"/>
      <c r="J656" s="2"/>
      <c r="L656" s="2"/>
      <c r="M656" s="2"/>
      <c r="N656" s="2"/>
      <c r="O656" s="2"/>
      <c r="P656" s="2"/>
    </row>
    <row r="657">
      <c r="G657" s="2"/>
      <c r="H657" s="2"/>
      <c r="J657" s="2"/>
      <c r="L657" s="2"/>
      <c r="M657" s="2"/>
      <c r="N657" s="2"/>
      <c r="O657" s="2"/>
      <c r="P657" s="2"/>
    </row>
    <row r="658">
      <c r="G658" s="2"/>
      <c r="H658" s="2"/>
      <c r="J658" s="2"/>
      <c r="L658" s="2"/>
      <c r="M658" s="2"/>
      <c r="N658" s="2"/>
      <c r="O658" s="2"/>
      <c r="P658" s="2"/>
    </row>
    <row r="659">
      <c r="G659" s="2"/>
      <c r="H659" s="2"/>
      <c r="J659" s="2"/>
      <c r="L659" s="2"/>
      <c r="M659" s="2"/>
      <c r="N659" s="2"/>
      <c r="O659" s="2"/>
      <c r="P659" s="2"/>
    </row>
    <row r="660">
      <c r="G660" s="2"/>
      <c r="H660" s="2"/>
      <c r="J660" s="2"/>
      <c r="L660" s="2"/>
      <c r="M660" s="2"/>
      <c r="N660" s="2"/>
      <c r="O660" s="2"/>
      <c r="P660" s="2"/>
    </row>
    <row r="661">
      <c r="G661" s="2"/>
      <c r="H661" s="2"/>
      <c r="J661" s="2"/>
      <c r="L661" s="2"/>
      <c r="M661" s="2"/>
      <c r="N661" s="2"/>
      <c r="O661" s="2"/>
      <c r="P661" s="2"/>
    </row>
    <row r="662">
      <c r="G662" s="2"/>
      <c r="H662" s="2"/>
      <c r="J662" s="2"/>
      <c r="L662" s="2"/>
      <c r="M662" s="2"/>
      <c r="N662" s="2"/>
      <c r="O662" s="2"/>
      <c r="P662" s="2"/>
    </row>
    <row r="663">
      <c r="G663" s="2"/>
      <c r="H663" s="2"/>
      <c r="J663" s="2"/>
      <c r="L663" s="2"/>
      <c r="M663" s="2"/>
      <c r="N663" s="2"/>
      <c r="O663" s="2"/>
      <c r="P663" s="2"/>
    </row>
    <row r="664">
      <c r="G664" s="2"/>
      <c r="H664" s="2"/>
      <c r="J664" s="2"/>
      <c r="L664" s="2"/>
      <c r="M664" s="2"/>
      <c r="N664" s="2"/>
      <c r="O664" s="2"/>
      <c r="P664" s="2"/>
    </row>
    <row r="665">
      <c r="G665" s="2"/>
      <c r="H665" s="2"/>
      <c r="J665" s="2"/>
      <c r="L665" s="2"/>
      <c r="M665" s="2"/>
      <c r="N665" s="2"/>
      <c r="O665" s="2"/>
      <c r="P665" s="2"/>
    </row>
    <row r="666">
      <c r="G666" s="2"/>
      <c r="H666" s="2"/>
      <c r="J666" s="2"/>
      <c r="L666" s="2"/>
      <c r="M666" s="2"/>
      <c r="N666" s="2"/>
      <c r="O666" s="2"/>
      <c r="P666" s="2"/>
    </row>
    <row r="667">
      <c r="G667" s="2"/>
      <c r="H667" s="2"/>
      <c r="J667" s="2"/>
      <c r="L667" s="2"/>
      <c r="M667" s="2"/>
      <c r="N667" s="2"/>
      <c r="O667" s="2"/>
      <c r="P667" s="2"/>
    </row>
    <row r="668">
      <c r="G668" s="2"/>
      <c r="H668" s="2"/>
      <c r="J668" s="2"/>
      <c r="L668" s="2"/>
      <c r="M668" s="2"/>
      <c r="N668" s="2"/>
      <c r="O668" s="2"/>
      <c r="P668" s="2"/>
    </row>
    <row r="669">
      <c r="G669" s="2"/>
      <c r="H669" s="2"/>
      <c r="J669" s="2"/>
      <c r="L669" s="2"/>
      <c r="M669" s="2"/>
      <c r="N669" s="2"/>
      <c r="O669" s="2"/>
      <c r="P669" s="2"/>
    </row>
    <row r="670">
      <c r="G670" s="2"/>
      <c r="H670" s="2"/>
      <c r="J670" s="2"/>
      <c r="L670" s="2"/>
      <c r="M670" s="2"/>
      <c r="N670" s="2"/>
      <c r="O670" s="2"/>
      <c r="P670" s="2"/>
    </row>
    <row r="671">
      <c r="G671" s="2"/>
      <c r="H671" s="2"/>
      <c r="J671" s="2"/>
      <c r="L671" s="2"/>
      <c r="M671" s="2"/>
      <c r="N671" s="2"/>
      <c r="O671" s="2"/>
      <c r="P671" s="2"/>
    </row>
    <row r="672">
      <c r="G672" s="2"/>
      <c r="H672" s="2"/>
      <c r="J672" s="2"/>
      <c r="L672" s="2"/>
      <c r="M672" s="2"/>
      <c r="N672" s="2"/>
      <c r="O672" s="2"/>
      <c r="P672" s="2"/>
    </row>
    <row r="673">
      <c r="G673" s="2"/>
      <c r="H673" s="2"/>
      <c r="J673" s="2"/>
      <c r="L673" s="2"/>
      <c r="M673" s="2"/>
      <c r="N673" s="2"/>
      <c r="O673" s="2"/>
      <c r="P673" s="2"/>
    </row>
    <row r="674">
      <c r="G674" s="2"/>
      <c r="H674" s="2"/>
      <c r="J674" s="2"/>
      <c r="L674" s="2"/>
      <c r="M674" s="2"/>
      <c r="N674" s="2"/>
      <c r="O674" s="2"/>
      <c r="P674" s="2"/>
    </row>
    <row r="675">
      <c r="G675" s="2"/>
      <c r="H675" s="2"/>
      <c r="J675" s="2"/>
      <c r="L675" s="2"/>
      <c r="M675" s="2"/>
      <c r="N675" s="2"/>
      <c r="O675" s="2"/>
      <c r="P675" s="2"/>
    </row>
    <row r="676">
      <c r="G676" s="2"/>
      <c r="H676" s="2"/>
      <c r="J676" s="2"/>
      <c r="L676" s="2"/>
      <c r="M676" s="2"/>
      <c r="N676" s="2"/>
      <c r="O676" s="2"/>
      <c r="P676" s="2"/>
    </row>
    <row r="677">
      <c r="G677" s="2"/>
      <c r="H677" s="2"/>
      <c r="J677" s="2"/>
      <c r="L677" s="2"/>
      <c r="M677" s="2"/>
      <c r="N677" s="2"/>
      <c r="O677" s="2"/>
      <c r="P677" s="2"/>
    </row>
    <row r="678">
      <c r="G678" s="2"/>
      <c r="H678" s="2"/>
      <c r="J678" s="2"/>
      <c r="L678" s="2"/>
      <c r="M678" s="2"/>
      <c r="N678" s="2"/>
      <c r="O678" s="2"/>
      <c r="P678" s="2"/>
    </row>
    <row r="679">
      <c r="G679" s="2"/>
      <c r="H679" s="2"/>
      <c r="J679" s="2"/>
      <c r="L679" s="2"/>
      <c r="M679" s="2"/>
      <c r="N679" s="2"/>
      <c r="O679" s="2"/>
      <c r="P679" s="2"/>
    </row>
    <row r="680">
      <c r="G680" s="2"/>
      <c r="H680" s="2"/>
      <c r="J680" s="2"/>
      <c r="L680" s="2"/>
      <c r="M680" s="2"/>
      <c r="N680" s="2"/>
      <c r="O680" s="2"/>
      <c r="P680" s="2"/>
    </row>
    <row r="681">
      <c r="G681" s="2"/>
      <c r="H681" s="2"/>
      <c r="J681" s="2"/>
      <c r="L681" s="2"/>
      <c r="M681" s="2"/>
      <c r="N681" s="2"/>
      <c r="O681" s="2"/>
      <c r="P681" s="2"/>
    </row>
    <row r="682">
      <c r="G682" s="2"/>
      <c r="H682" s="2"/>
      <c r="J682" s="2"/>
      <c r="L682" s="2"/>
      <c r="M682" s="2"/>
      <c r="N682" s="2"/>
      <c r="O682" s="2"/>
      <c r="P682" s="2"/>
    </row>
    <row r="683">
      <c r="G683" s="2"/>
      <c r="H683" s="2"/>
      <c r="J683" s="2"/>
      <c r="L683" s="2"/>
      <c r="M683" s="2"/>
      <c r="N683" s="2"/>
      <c r="O683" s="2"/>
      <c r="P683" s="2"/>
    </row>
    <row r="684">
      <c r="G684" s="2"/>
      <c r="H684" s="2"/>
      <c r="J684" s="2"/>
      <c r="L684" s="2"/>
      <c r="M684" s="2"/>
      <c r="N684" s="2"/>
      <c r="O684" s="2"/>
      <c r="P684" s="2"/>
    </row>
    <row r="685">
      <c r="G685" s="2"/>
      <c r="H685" s="2"/>
      <c r="J685" s="2"/>
      <c r="L685" s="2"/>
      <c r="M685" s="2"/>
      <c r="N685" s="2"/>
      <c r="O685" s="2"/>
      <c r="P685" s="2"/>
    </row>
    <row r="686">
      <c r="G686" s="2"/>
      <c r="H686" s="2"/>
      <c r="J686" s="2"/>
      <c r="L686" s="2"/>
      <c r="M686" s="2"/>
      <c r="N686" s="2"/>
      <c r="O686" s="2"/>
      <c r="P686" s="2"/>
    </row>
    <row r="687">
      <c r="G687" s="2"/>
      <c r="H687" s="2"/>
      <c r="J687" s="2"/>
      <c r="L687" s="2"/>
      <c r="M687" s="2"/>
      <c r="N687" s="2"/>
      <c r="O687" s="2"/>
      <c r="P687" s="2"/>
    </row>
    <row r="688">
      <c r="G688" s="2"/>
      <c r="H688" s="2"/>
      <c r="J688" s="2"/>
      <c r="L688" s="2"/>
      <c r="M688" s="2"/>
      <c r="N688" s="2"/>
      <c r="O688" s="2"/>
      <c r="P688" s="2"/>
    </row>
    <row r="689">
      <c r="G689" s="2"/>
      <c r="H689" s="2"/>
      <c r="J689" s="2"/>
      <c r="L689" s="2"/>
      <c r="M689" s="2"/>
      <c r="N689" s="2"/>
      <c r="O689" s="2"/>
      <c r="P689" s="2"/>
    </row>
    <row r="690">
      <c r="G690" s="2"/>
      <c r="H690" s="2"/>
      <c r="J690" s="2"/>
      <c r="L690" s="2"/>
      <c r="M690" s="2"/>
      <c r="N690" s="2"/>
      <c r="O690" s="2"/>
      <c r="P690" s="2"/>
    </row>
    <row r="691">
      <c r="G691" s="2"/>
      <c r="H691" s="2"/>
      <c r="J691" s="2"/>
      <c r="L691" s="2"/>
      <c r="M691" s="2"/>
      <c r="N691" s="2"/>
      <c r="O691" s="2"/>
      <c r="P691" s="2"/>
    </row>
    <row r="692">
      <c r="G692" s="2"/>
      <c r="H692" s="2"/>
      <c r="J692" s="2"/>
      <c r="L692" s="2"/>
      <c r="M692" s="2"/>
      <c r="N692" s="2"/>
      <c r="O692" s="2"/>
      <c r="P692" s="2"/>
    </row>
    <row r="693">
      <c r="G693" s="2"/>
      <c r="H693" s="2"/>
      <c r="J693" s="2"/>
      <c r="L693" s="2"/>
      <c r="M693" s="2"/>
      <c r="N693" s="2"/>
      <c r="O693" s="2"/>
      <c r="P693" s="2"/>
    </row>
    <row r="694">
      <c r="G694" s="2"/>
      <c r="H694" s="2"/>
      <c r="J694" s="2"/>
      <c r="L694" s="2"/>
      <c r="M694" s="2"/>
      <c r="N694" s="2"/>
      <c r="O694" s="2"/>
      <c r="P694" s="2"/>
    </row>
    <row r="695">
      <c r="G695" s="2"/>
      <c r="H695" s="2"/>
      <c r="J695" s="2"/>
      <c r="L695" s="2"/>
      <c r="M695" s="2"/>
      <c r="N695" s="2"/>
      <c r="O695" s="2"/>
      <c r="P695" s="2"/>
    </row>
    <row r="696">
      <c r="G696" s="2"/>
      <c r="H696" s="2"/>
      <c r="J696" s="2"/>
      <c r="L696" s="2"/>
      <c r="M696" s="2"/>
      <c r="N696" s="2"/>
      <c r="O696" s="2"/>
      <c r="P696" s="2"/>
    </row>
    <row r="697">
      <c r="G697" s="2"/>
      <c r="H697" s="2"/>
      <c r="J697" s="2"/>
      <c r="L697" s="2"/>
      <c r="M697" s="2"/>
      <c r="N697" s="2"/>
      <c r="O697" s="2"/>
      <c r="P697" s="2"/>
    </row>
    <row r="698">
      <c r="G698" s="2"/>
      <c r="H698" s="2"/>
      <c r="J698" s="2"/>
      <c r="L698" s="2"/>
      <c r="M698" s="2"/>
      <c r="N698" s="2"/>
      <c r="O698" s="2"/>
      <c r="P698" s="2"/>
    </row>
    <row r="699">
      <c r="G699" s="2"/>
      <c r="H699" s="2"/>
      <c r="J699" s="2"/>
      <c r="L699" s="2"/>
      <c r="M699" s="2"/>
      <c r="N699" s="2"/>
      <c r="O699" s="2"/>
      <c r="P699" s="2"/>
    </row>
    <row r="700">
      <c r="G700" s="2"/>
      <c r="H700" s="2"/>
      <c r="J700" s="2"/>
      <c r="L700" s="2"/>
      <c r="M700" s="2"/>
      <c r="N700" s="2"/>
      <c r="O700" s="2"/>
      <c r="P700" s="2"/>
    </row>
    <row r="701">
      <c r="G701" s="2"/>
      <c r="H701" s="2"/>
      <c r="J701" s="2"/>
      <c r="L701" s="2"/>
      <c r="M701" s="2"/>
      <c r="N701" s="2"/>
      <c r="O701" s="2"/>
      <c r="P701" s="2"/>
    </row>
    <row r="702">
      <c r="G702" s="2"/>
      <c r="H702" s="2"/>
      <c r="J702" s="2"/>
      <c r="L702" s="2"/>
      <c r="M702" s="2"/>
      <c r="N702" s="2"/>
      <c r="O702" s="2"/>
      <c r="P702" s="2"/>
    </row>
    <row r="703">
      <c r="G703" s="2"/>
      <c r="H703" s="2"/>
      <c r="J703" s="2"/>
      <c r="L703" s="2"/>
      <c r="M703" s="2"/>
      <c r="N703" s="2"/>
      <c r="O703" s="2"/>
      <c r="P703" s="2"/>
    </row>
    <row r="704">
      <c r="G704" s="2"/>
      <c r="H704" s="2"/>
      <c r="J704" s="2"/>
      <c r="L704" s="2"/>
      <c r="M704" s="2"/>
      <c r="N704" s="2"/>
      <c r="O704" s="2"/>
      <c r="P704" s="2"/>
    </row>
    <row r="705">
      <c r="G705" s="2"/>
      <c r="H705" s="2"/>
      <c r="J705" s="2"/>
      <c r="L705" s="2"/>
      <c r="M705" s="2"/>
      <c r="N705" s="2"/>
      <c r="O705" s="2"/>
      <c r="P705" s="2"/>
    </row>
    <row r="706">
      <c r="G706" s="2"/>
      <c r="H706" s="2"/>
      <c r="J706" s="2"/>
      <c r="L706" s="2"/>
      <c r="M706" s="2"/>
      <c r="N706" s="2"/>
      <c r="O706" s="2"/>
      <c r="P706" s="2"/>
    </row>
    <row r="707">
      <c r="G707" s="2"/>
      <c r="H707" s="2"/>
      <c r="J707" s="2"/>
      <c r="L707" s="2"/>
      <c r="M707" s="2"/>
      <c r="N707" s="2"/>
      <c r="O707" s="2"/>
      <c r="P707" s="2"/>
    </row>
    <row r="708">
      <c r="G708" s="2"/>
      <c r="H708" s="2"/>
      <c r="J708" s="2"/>
      <c r="L708" s="2"/>
      <c r="M708" s="2"/>
      <c r="N708" s="2"/>
      <c r="O708" s="2"/>
      <c r="P708" s="2"/>
    </row>
    <row r="709">
      <c r="G709" s="2"/>
      <c r="H709" s="2"/>
      <c r="J709" s="2"/>
      <c r="L709" s="2"/>
      <c r="M709" s="2"/>
      <c r="N709" s="2"/>
      <c r="O709" s="2"/>
      <c r="P709" s="2"/>
    </row>
    <row r="710">
      <c r="G710" s="2"/>
      <c r="H710" s="2"/>
      <c r="J710" s="2"/>
      <c r="L710" s="2"/>
      <c r="M710" s="2"/>
      <c r="N710" s="2"/>
      <c r="O710" s="2"/>
      <c r="P710" s="2"/>
    </row>
    <row r="711">
      <c r="G711" s="2"/>
      <c r="H711" s="2"/>
      <c r="J711" s="2"/>
      <c r="L711" s="2"/>
      <c r="M711" s="2"/>
      <c r="N711" s="2"/>
      <c r="O711" s="2"/>
      <c r="P711" s="2"/>
    </row>
    <row r="712">
      <c r="G712" s="2"/>
      <c r="H712" s="2"/>
      <c r="J712" s="2"/>
      <c r="L712" s="2"/>
      <c r="M712" s="2"/>
      <c r="N712" s="2"/>
      <c r="O712" s="2"/>
      <c r="P712" s="2"/>
    </row>
    <row r="713">
      <c r="G713" s="2"/>
      <c r="H713" s="2"/>
      <c r="J713" s="2"/>
      <c r="L713" s="2"/>
      <c r="M713" s="2"/>
      <c r="N713" s="2"/>
      <c r="O713" s="2"/>
      <c r="P713" s="2"/>
    </row>
    <row r="714">
      <c r="G714" s="2"/>
      <c r="H714" s="2"/>
      <c r="J714" s="2"/>
      <c r="L714" s="2"/>
      <c r="M714" s="2"/>
      <c r="N714" s="2"/>
      <c r="O714" s="2"/>
      <c r="P714" s="2"/>
    </row>
    <row r="715">
      <c r="G715" s="2"/>
      <c r="H715" s="2"/>
      <c r="J715" s="2"/>
      <c r="L715" s="2"/>
      <c r="M715" s="2"/>
      <c r="N715" s="2"/>
      <c r="O715" s="2"/>
      <c r="P715" s="2"/>
    </row>
    <row r="716">
      <c r="G716" s="2"/>
      <c r="H716" s="2"/>
      <c r="J716" s="2"/>
      <c r="L716" s="2"/>
      <c r="M716" s="2"/>
      <c r="N716" s="2"/>
      <c r="O716" s="2"/>
      <c r="P716" s="2"/>
    </row>
    <row r="717">
      <c r="G717" s="2"/>
      <c r="H717" s="2"/>
      <c r="J717" s="2"/>
      <c r="L717" s="2"/>
      <c r="M717" s="2"/>
      <c r="N717" s="2"/>
      <c r="O717" s="2"/>
      <c r="P717" s="2"/>
    </row>
    <row r="718">
      <c r="G718" s="2"/>
      <c r="H718" s="2"/>
      <c r="J718" s="2"/>
      <c r="L718" s="2"/>
      <c r="M718" s="2"/>
      <c r="N718" s="2"/>
      <c r="O718" s="2"/>
      <c r="P718" s="2"/>
    </row>
    <row r="719">
      <c r="G719" s="2"/>
      <c r="H719" s="2"/>
      <c r="J719" s="2"/>
      <c r="L719" s="2"/>
      <c r="M719" s="2"/>
      <c r="N719" s="2"/>
      <c r="O719" s="2"/>
      <c r="P719" s="2"/>
    </row>
    <row r="720">
      <c r="G720" s="2"/>
      <c r="H720" s="2"/>
      <c r="J720" s="2"/>
      <c r="L720" s="2"/>
      <c r="M720" s="2"/>
      <c r="N720" s="2"/>
      <c r="O720" s="2"/>
      <c r="P720" s="2"/>
    </row>
    <row r="721">
      <c r="G721" s="2"/>
      <c r="H721" s="2"/>
      <c r="J721" s="2"/>
      <c r="L721" s="2"/>
      <c r="M721" s="2"/>
      <c r="N721" s="2"/>
      <c r="O721" s="2"/>
      <c r="P721" s="2"/>
    </row>
    <row r="722">
      <c r="G722" s="2"/>
      <c r="H722" s="2"/>
      <c r="J722" s="2"/>
      <c r="L722" s="2"/>
      <c r="M722" s="2"/>
      <c r="N722" s="2"/>
      <c r="O722" s="2"/>
      <c r="P722" s="2"/>
    </row>
    <row r="723">
      <c r="G723" s="2"/>
      <c r="H723" s="2"/>
      <c r="J723" s="2"/>
      <c r="L723" s="2"/>
      <c r="M723" s="2"/>
      <c r="N723" s="2"/>
      <c r="O723" s="2"/>
      <c r="P723" s="2"/>
    </row>
    <row r="724">
      <c r="G724" s="2"/>
      <c r="H724" s="2"/>
      <c r="J724" s="2"/>
      <c r="L724" s="2"/>
      <c r="M724" s="2"/>
      <c r="N724" s="2"/>
      <c r="O724" s="2"/>
      <c r="P724" s="2"/>
    </row>
    <row r="725">
      <c r="G725" s="2"/>
      <c r="H725" s="2"/>
      <c r="J725" s="2"/>
      <c r="L725" s="2"/>
      <c r="M725" s="2"/>
      <c r="N725" s="2"/>
      <c r="O725" s="2"/>
      <c r="P725" s="2"/>
    </row>
    <row r="726">
      <c r="G726" s="2"/>
      <c r="H726" s="2"/>
      <c r="J726" s="2"/>
      <c r="L726" s="2"/>
      <c r="M726" s="2"/>
      <c r="N726" s="2"/>
      <c r="O726" s="2"/>
      <c r="P726" s="2"/>
    </row>
    <row r="727">
      <c r="G727" s="2"/>
      <c r="H727" s="2"/>
      <c r="J727" s="2"/>
      <c r="L727" s="2"/>
      <c r="M727" s="2"/>
      <c r="N727" s="2"/>
      <c r="O727" s="2"/>
      <c r="P727" s="2"/>
    </row>
    <row r="728">
      <c r="G728" s="2"/>
      <c r="H728" s="2"/>
      <c r="J728" s="2"/>
      <c r="L728" s="2"/>
      <c r="M728" s="2"/>
      <c r="N728" s="2"/>
      <c r="O728" s="2"/>
      <c r="P728" s="2"/>
    </row>
    <row r="729">
      <c r="G729" s="2"/>
      <c r="H729" s="2"/>
      <c r="J729" s="2"/>
      <c r="L729" s="2"/>
      <c r="M729" s="2"/>
      <c r="N729" s="2"/>
      <c r="O729" s="2"/>
      <c r="P729" s="2"/>
    </row>
    <row r="730">
      <c r="G730" s="2"/>
      <c r="H730" s="2"/>
      <c r="J730" s="2"/>
      <c r="L730" s="2"/>
      <c r="M730" s="2"/>
      <c r="N730" s="2"/>
      <c r="O730" s="2"/>
      <c r="P730" s="2"/>
    </row>
    <row r="731">
      <c r="G731" s="2"/>
      <c r="H731" s="2"/>
      <c r="J731" s="2"/>
      <c r="L731" s="2"/>
      <c r="M731" s="2"/>
      <c r="N731" s="2"/>
      <c r="O731" s="2"/>
      <c r="P731" s="2"/>
    </row>
    <row r="732">
      <c r="G732" s="2"/>
      <c r="H732" s="2"/>
      <c r="J732" s="2"/>
      <c r="L732" s="2"/>
      <c r="M732" s="2"/>
      <c r="N732" s="2"/>
      <c r="O732" s="2"/>
      <c r="P732" s="2"/>
    </row>
    <row r="733">
      <c r="G733" s="2"/>
      <c r="H733" s="2"/>
      <c r="J733" s="2"/>
      <c r="L733" s="2"/>
      <c r="M733" s="2"/>
      <c r="N733" s="2"/>
      <c r="O733" s="2"/>
      <c r="P733" s="2"/>
    </row>
    <row r="734">
      <c r="G734" s="2"/>
      <c r="H734" s="2"/>
      <c r="J734" s="2"/>
      <c r="L734" s="2"/>
      <c r="M734" s="2"/>
      <c r="N734" s="2"/>
      <c r="O734" s="2"/>
      <c r="P734" s="2"/>
    </row>
    <row r="735">
      <c r="G735" s="2"/>
      <c r="H735" s="2"/>
      <c r="J735" s="2"/>
      <c r="L735" s="2"/>
      <c r="M735" s="2"/>
      <c r="N735" s="2"/>
      <c r="O735" s="2"/>
      <c r="P735" s="2"/>
    </row>
    <row r="736">
      <c r="G736" s="2"/>
      <c r="H736" s="2"/>
      <c r="J736" s="2"/>
      <c r="L736" s="2"/>
      <c r="M736" s="2"/>
      <c r="N736" s="2"/>
      <c r="O736" s="2"/>
      <c r="P736" s="2"/>
    </row>
    <row r="737">
      <c r="G737" s="2"/>
      <c r="H737" s="2"/>
      <c r="J737" s="2"/>
      <c r="L737" s="2"/>
      <c r="M737" s="2"/>
      <c r="N737" s="2"/>
      <c r="O737" s="2"/>
      <c r="P737" s="2"/>
    </row>
    <row r="738">
      <c r="G738" s="2"/>
      <c r="H738" s="2"/>
      <c r="J738" s="2"/>
      <c r="L738" s="2"/>
      <c r="M738" s="2"/>
      <c r="N738" s="2"/>
      <c r="O738" s="2"/>
      <c r="P738" s="2"/>
    </row>
    <row r="739">
      <c r="G739" s="2"/>
      <c r="H739" s="2"/>
      <c r="J739" s="2"/>
      <c r="L739" s="2"/>
      <c r="M739" s="2"/>
      <c r="N739" s="2"/>
      <c r="O739" s="2"/>
      <c r="P739" s="2"/>
    </row>
    <row r="740">
      <c r="G740" s="2"/>
      <c r="H740" s="2"/>
      <c r="J740" s="2"/>
      <c r="L740" s="2"/>
      <c r="M740" s="2"/>
      <c r="N740" s="2"/>
      <c r="O740" s="2"/>
      <c r="P740" s="2"/>
    </row>
    <row r="741">
      <c r="G741" s="2"/>
      <c r="H741" s="2"/>
      <c r="J741" s="2"/>
      <c r="L741" s="2"/>
      <c r="M741" s="2"/>
      <c r="N741" s="2"/>
      <c r="O741" s="2"/>
      <c r="P741" s="2"/>
    </row>
    <row r="742">
      <c r="G742" s="2"/>
      <c r="H742" s="2"/>
      <c r="J742" s="2"/>
      <c r="L742" s="2"/>
      <c r="M742" s="2"/>
      <c r="N742" s="2"/>
      <c r="O742" s="2"/>
      <c r="P742" s="2"/>
    </row>
    <row r="743">
      <c r="G743" s="2"/>
      <c r="H743" s="2"/>
      <c r="J743" s="2"/>
      <c r="L743" s="2"/>
      <c r="M743" s="2"/>
      <c r="N743" s="2"/>
      <c r="O743" s="2"/>
      <c r="P743" s="2"/>
    </row>
    <row r="744">
      <c r="G744" s="2"/>
      <c r="H744" s="2"/>
      <c r="J744" s="2"/>
      <c r="L744" s="2"/>
      <c r="M744" s="2"/>
      <c r="N744" s="2"/>
      <c r="O744" s="2"/>
      <c r="P744" s="2"/>
    </row>
    <row r="745">
      <c r="G745" s="2"/>
      <c r="H745" s="2"/>
      <c r="J745" s="2"/>
      <c r="L745" s="2"/>
      <c r="M745" s="2"/>
      <c r="N745" s="2"/>
      <c r="O745" s="2"/>
      <c r="P745" s="2"/>
    </row>
    <row r="746">
      <c r="G746" s="2"/>
      <c r="H746" s="2"/>
      <c r="J746" s="2"/>
      <c r="L746" s="2"/>
      <c r="M746" s="2"/>
      <c r="N746" s="2"/>
      <c r="O746" s="2"/>
      <c r="P746" s="2"/>
    </row>
    <row r="747">
      <c r="G747" s="2"/>
      <c r="H747" s="2"/>
      <c r="J747" s="2"/>
      <c r="L747" s="2"/>
      <c r="M747" s="2"/>
      <c r="N747" s="2"/>
      <c r="O747" s="2"/>
      <c r="P747" s="2"/>
    </row>
    <row r="748">
      <c r="G748" s="2"/>
      <c r="H748" s="2"/>
      <c r="J748" s="2"/>
      <c r="L748" s="2"/>
      <c r="M748" s="2"/>
      <c r="N748" s="2"/>
      <c r="O748" s="2"/>
      <c r="P748" s="2"/>
    </row>
    <row r="749">
      <c r="G749" s="2"/>
      <c r="H749" s="2"/>
      <c r="J749" s="2"/>
      <c r="L749" s="2"/>
      <c r="M749" s="2"/>
      <c r="N749" s="2"/>
      <c r="O749" s="2"/>
      <c r="P749" s="2"/>
    </row>
    <row r="750">
      <c r="G750" s="2"/>
      <c r="H750" s="2"/>
      <c r="J750" s="2"/>
      <c r="L750" s="2"/>
      <c r="M750" s="2"/>
      <c r="N750" s="2"/>
      <c r="O750" s="2"/>
      <c r="P750" s="2"/>
    </row>
    <row r="751">
      <c r="G751" s="2"/>
      <c r="H751" s="2"/>
      <c r="J751" s="2"/>
      <c r="L751" s="2"/>
      <c r="M751" s="2"/>
      <c r="N751" s="2"/>
      <c r="O751" s="2"/>
      <c r="P751" s="2"/>
    </row>
    <row r="752">
      <c r="G752" s="2"/>
      <c r="H752" s="2"/>
      <c r="J752" s="2"/>
      <c r="L752" s="2"/>
      <c r="M752" s="2"/>
      <c r="N752" s="2"/>
      <c r="O752" s="2"/>
      <c r="P752" s="2"/>
    </row>
    <row r="753">
      <c r="G753" s="2"/>
      <c r="H753" s="2"/>
      <c r="J753" s="2"/>
      <c r="L753" s="2"/>
      <c r="M753" s="2"/>
      <c r="N753" s="2"/>
      <c r="O753" s="2"/>
      <c r="P753" s="2"/>
    </row>
    <row r="754">
      <c r="G754" s="2"/>
      <c r="H754" s="2"/>
      <c r="J754" s="2"/>
      <c r="L754" s="2"/>
      <c r="M754" s="2"/>
      <c r="N754" s="2"/>
      <c r="O754" s="2"/>
      <c r="P754" s="2"/>
    </row>
    <row r="755">
      <c r="G755" s="2"/>
      <c r="H755" s="2"/>
      <c r="J755" s="2"/>
      <c r="L755" s="2"/>
      <c r="M755" s="2"/>
      <c r="N755" s="2"/>
      <c r="O755" s="2"/>
      <c r="P755" s="2"/>
    </row>
    <row r="756">
      <c r="G756" s="2"/>
      <c r="H756" s="2"/>
      <c r="J756" s="2"/>
      <c r="L756" s="2"/>
      <c r="M756" s="2"/>
      <c r="N756" s="2"/>
      <c r="O756" s="2"/>
      <c r="P756" s="2"/>
    </row>
    <row r="757">
      <c r="G757" s="2"/>
      <c r="H757" s="2"/>
      <c r="J757" s="2"/>
      <c r="L757" s="2"/>
      <c r="M757" s="2"/>
      <c r="N757" s="2"/>
      <c r="O757" s="2"/>
      <c r="P757" s="2"/>
    </row>
    <row r="758">
      <c r="G758" s="2"/>
      <c r="H758" s="2"/>
      <c r="J758" s="2"/>
      <c r="L758" s="2"/>
      <c r="M758" s="2"/>
      <c r="N758" s="2"/>
      <c r="O758" s="2"/>
      <c r="P758" s="2"/>
    </row>
    <row r="759">
      <c r="G759" s="2"/>
      <c r="H759" s="2"/>
      <c r="J759" s="2"/>
      <c r="L759" s="2"/>
      <c r="M759" s="2"/>
      <c r="N759" s="2"/>
      <c r="O759" s="2"/>
      <c r="P759" s="2"/>
    </row>
    <row r="760">
      <c r="G760" s="2"/>
      <c r="H760" s="2"/>
      <c r="J760" s="2"/>
      <c r="L760" s="2"/>
      <c r="M760" s="2"/>
      <c r="N760" s="2"/>
      <c r="O760" s="2"/>
      <c r="P760" s="2"/>
    </row>
    <row r="761">
      <c r="G761" s="2"/>
      <c r="H761" s="2"/>
      <c r="J761" s="2"/>
      <c r="L761" s="2"/>
      <c r="M761" s="2"/>
      <c r="N761" s="2"/>
      <c r="O761" s="2"/>
      <c r="P761" s="2"/>
    </row>
    <row r="762">
      <c r="G762" s="2"/>
      <c r="H762" s="2"/>
      <c r="J762" s="2"/>
      <c r="L762" s="2"/>
      <c r="M762" s="2"/>
      <c r="N762" s="2"/>
      <c r="O762" s="2"/>
      <c r="P762" s="2"/>
    </row>
    <row r="763">
      <c r="G763" s="2"/>
      <c r="H763" s="2"/>
      <c r="J763" s="2"/>
      <c r="L763" s="2"/>
      <c r="M763" s="2"/>
      <c r="N763" s="2"/>
      <c r="O763" s="2"/>
      <c r="P763" s="2"/>
    </row>
    <row r="764">
      <c r="G764" s="2"/>
      <c r="H764" s="2"/>
      <c r="J764" s="2"/>
      <c r="L764" s="2"/>
      <c r="M764" s="2"/>
      <c r="N764" s="2"/>
      <c r="O764" s="2"/>
      <c r="P764" s="2"/>
    </row>
    <row r="765">
      <c r="G765" s="2"/>
      <c r="H765" s="2"/>
      <c r="J765" s="2"/>
      <c r="L765" s="2"/>
      <c r="M765" s="2"/>
      <c r="N765" s="2"/>
      <c r="O765" s="2"/>
      <c r="P765" s="2"/>
    </row>
    <row r="766">
      <c r="G766" s="2"/>
      <c r="H766" s="2"/>
      <c r="J766" s="2"/>
      <c r="L766" s="2"/>
      <c r="M766" s="2"/>
      <c r="N766" s="2"/>
      <c r="O766" s="2"/>
      <c r="P766" s="2"/>
    </row>
    <row r="767">
      <c r="G767" s="2"/>
      <c r="H767" s="2"/>
      <c r="J767" s="2"/>
      <c r="L767" s="2"/>
      <c r="M767" s="2"/>
      <c r="N767" s="2"/>
      <c r="O767" s="2"/>
      <c r="P767" s="2"/>
    </row>
    <row r="768">
      <c r="G768" s="2"/>
      <c r="H768" s="2"/>
      <c r="J768" s="2"/>
      <c r="L768" s="2"/>
      <c r="M768" s="2"/>
      <c r="N768" s="2"/>
      <c r="O768" s="2"/>
      <c r="P768" s="2"/>
    </row>
    <row r="769">
      <c r="G769" s="2"/>
      <c r="H769" s="2"/>
      <c r="J769" s="2"/>
      <c r="L769" s="2"/>
      <c r="M769" s="2"/>
      <c r="N769" s="2"/>
      <c r="O769" s="2"/>
      <c r="P769" s="2"/>
    </row>
    <row r="770">
      <c r="G770" s="2"/>
      <c r="H770" s="2"/>
      <c r="J770" s="2"/>
      <c r="L770" s="2"/>
      <c r="M770" s="2"/>
      <c r="N770" s="2"/>
      <c r="O770" s="2"/>
      <c r="P770" s="2"/>
    </row>
    <row r="771">
      <c r="G771" s="2"/>
      <c r="H771" s="2"/>
      <c r="J771" s="2"/>
      <c r="L771" s="2"/>
      <c r="M771" s="2"/>
      <c r="N771" s="2"/>
      <c r="O771" s="2"/>
      <c r="P771" s="2"/>
    </row>
    <row r="772">
      <c r="G772" s="2"/>
      <c r="H772" s="2"/>
      <c r="J772" s="2"/>
      <c r="L772" s="2"/>
      <c r="M772" s="2"/>
      <c r="N772" s="2"/>
      <c r="O772" s="2"/>
      <c r="P772" s="2"/>
    </row>
    <row r="773">
      <c r="G773" s="2"/>
      <c r="H773" s="2"/>
      <c r="J773" s="2"/>
      <c r="L773" s="2"/>
      <c r="M773" s="2"/>
      <c r="N773" s="2"/>
      <c r="O773" s="2"/>
      <c r="P773" s="2"/>
    </row>
    <row r="774">
      <c r="G774" s="2"/>
      <c r="H774" s="2"/>
      <c r="J774" s="2"/>
      <c r="L774" s="2"/>
      <c r="M774" s="2"/>
      <c r="N774" s="2"/>
      <c r="O774" s="2"/>
      <c r="P774" s="2"/>
    </row>
    <row r="775">
      <c r="G775" s="2"/>
      <c r="H775" s="2"/>
      <c r="J775" s="2"/>
      <c r="L775" s="2"/>
      <c r="M775" s="2"/>
      <c r="N775" s="2"/>
      <c r="O775" s="2"/>
      <c r="P775" s="2"/>
    </row>
    <row r="776">
      <c r="G776" s="2"/>
      <c r="H776" s="2"/>
      <c r="J776" s="2"/>
      <c r="L776" s="2"/>
      <c r="M776" s="2"/>
      <c r="N776" s="2"/>
      <c r="O776" s="2"/>
      <c r="P776" s="2"/>
    </row>
    <row r="777">
      <c r="G777" s="2"/>
      <c r="H777" s="2"/>
      <c r="J777" s="2"/>
      <c r="L777" s="2"/>
      <c r="M777" s="2"/>
      <c r="N777" s="2"/>
      <c r="O777" s="2"/>
      <c r="P777" s="2"/>
    </row>
    <row r="778">
      <c r="G778" s="2"/>
      <c r="H778" s="2"/>
      <c r="J778" s="2"/>
      <c r="L778" s="2"/>
      <c r="M778" s="2"/>
      <c r="N778" s="2"/>
      <c r="O778" s="2"/>
      <c r="P778" s="2"/>
    </row>
    <row r="779">
      <c r="G779" s="2"/>
      <c r="H779" s="2"/>
      <c r="J779" s="2"/>
      <c r="L779" s="2"/>
      <c r="M779" s="2"/>
      <c r="N779" s="2"/>
      <c r="O779" s="2"/>
      <c r="P779" s="2"/>
    </row>
    <row r="780">
      <c r="G780" s="2"/>
      <c r="H780" s="2"/>
      <c r="J780" s="2"/>
      <c r="L780" s="2"/>
      <c r="M780" s="2"/>
      <c r="N780" s="2"/>
      <c r="O780" s="2"/>
      <c r="P780" s="2"/>
    </row>
    <row r="781">
      <c r="G781" s="2"/>
      <c r="H781" s="2"/>
      <c r="J781" s="2"/>
      <c r="L781" s="2"/>
      <c r="M781" s="2"/>
      <c r="N781" s="2"/>
      <c r="O781" s="2"/>
      <c r="P781" s="2"/>
    </row>
    <row r="782">
      <c r="G782" s="2"/>
      <c r="H782" s="2"/>
      <c r="J782" s="2"/>
      <c r="L782" s="2"/>
      <c r="M782" s="2"/>
      <c r="N782" s="2"/>
      <c r="O782" s="2"/>
      <c r="P782" s="2"/>
    </row>
    <row r="783">
      <c r="G783" s="2"/>
      <c r="H783" s="2"/>
      <c r="J783" s="2"/>
      <c r="L783" s="2"/>
      <c r="M783" s="2"/>
      <c r="N783" s="2"/>
      <c r="O783" s="2"/>
      <c r="P783" s="2"/>
    </row>
    <row r="784">
      <c r="G784" s="2"/>
      <c r="H784" s="2"/>
      <c r="J784" s="2"/>
      <c r="L784" s="2"/>
      <c r="M784" s="2"/>
      <c r="N784" s="2"/>
      <c r="O784" s="2"/>
      <c r="P784" s="2"/>
    </row>
    <row r="785">
      <c r="G785" s="2"/>
      <c r="H785" s="2"/>
      <c r="J785" s="2"/>
      <c r="L785" s="2"/>
      <c r="M785" s="2"/>
      <c r="N785" s="2"/>
      <c r="O785" s="2"/>
      <c r="P785" s="2"/>
    </row>
    <row r="786">
      <c r="G786" s="2"/>
      <c r="H786" s="2"/>
      <c r="J786" s="2"/>
      <c r="L786" s="2"/>
      <c r="M786" s="2"/>
      <c r="N786" s="2"/>
      <c r="O786" s="2"/>
      <c r="P786" s="2"/>
    </row>
    <row r="787">
      <c r="G787" s="2"/>
      <c r="H787" s="2"/>
      <c r="J787" s="2"/>
      <c r="L787" s="2"/>
      <c r="M787" s="2"/>
      <c r="N787" s="2"/>
      <c r="O787" s="2"/>
      <c r="P787" s="2"/>
    </row>
    <row r="788">
      <c r="G788" s="2"/>
      <c r="H788" s="2"/>
      <c r="J788" s="2"/>
      <c r="L788" s="2"/>
      <c r="M788" s="2"/>
      <c r="N788" s="2"/>
      <c r="O788" s="2"/>
      <c r="P788" s="2"/>
    </row>
    <row r="789">
      <c r="G789" s="2"/>
      <c r="H789" s="2"/>
      <c r="J789" s="2"/>
      <c r="L789" s="2"/>
      <c r="M789" s="2"/>
      <c r="N789" s="2"/>
      <c r="O789" s="2"/>
      <c r="P789" s="2"/>
    </row>
    <row r="790">
      <c r="G790" s="2"/>
      <c r="H790" s="2"/>
      <c r="J790" s="2"/>
      <c r="L790" s="2"/>
      <c r="M790" s="2"/>
      <c r="N790" s="2"/>
      <c r="O790" s="2"/>
      <c r="P790" s="2"/>
    </row>
    <row r="791">
      <c r="G791" s="2"/>
      <c r="H791" s="2"/>
      <c r="J791" s="2"/>
      <c r="L791" s="2"/>
      <c r="M791" s="2"/>
      <c r="N791" s="2"/>
      <c r="O791" s="2"/>
      <c r="P791" s="2"/>
    </row>
    <row r="792">
      <c r="G792" s="2"/>
      <c r="H792" s="2"/>
      <c r="J792" s="2"/>
      <c r="L792" s="2"/>
      <c r="M792" s="2"/>
      <c r="N792" s="2"/>
      <c r="O792" s="2"/>
      <c r="P792" s="2"/>
    </row>
    <row r="793">
      <c r="G793" s="2"/>
      <c r="H793" s="2"/>
      <c r="J793" s="2"/>
      <c r="L793" s="2"/>
      <c r="M793" s="2"/>
      <c r="N793" s="2"/>
      <c r="O793" s="2"/>
      <c r="P793" s="2"/>
    </row>
    <row r="794">
      <c r="G794" s="2"/>
      <c r="H794" s="2"/>
      <c r="J794" s="2"/>
      <c r="L794" s="2"/>
      <c r="M794" s="2"/>
      <c r="N794" s="2"/>
      <c r="O794" s="2"/>
      <c r="P794" s="2"/>
    </row>
    <row r="795">
      <c r="G795" s="2"/>
      <c r="H795" s="2"/>
      <c r="J795" s="2"/>
      <c r="L795" s="2"/>
      <c r="M795" s="2"/>
      <c r="N795" s="2"/>
      <c r="O795" s="2"/>
      <c r="P795" s="2"/>
    </row>
    <row r="796">
      <c r="G796" s="2"/>
      <c r="H796" s="2"/>
      <c r="J796" s="2"/>
      <c r="L796" s="2"/>
      <c r="M796" s="2"/>
      <c r="N796" s="2"/>
      <c r="O796" s="2"/>
      <c r="P796" s="2"/>
    </row>
    <row r="797">
      <c r="G797" s="2"/>
      <c r="H797" s="2"/>
      <c r="J797" s="2"/>
      <c r="L797" s="2"/>
      <c r="M797" s="2"/>
      <c r="N797" s="2"/>
      <c r="O797" s="2"/>
      <c r="P797" s="2"/>
    </row>
    <row r="798">
      <c r="G798" s="2"/>
      <c r="H798" s="2"/>
      <c r="J798" s="2"/>
      <c r="L798" s="2"/>
      <c r="M798" s="2"/>
      <c r="N798" s="2"/>
      <c r="O798" s="2"/>
      <c r="P798" s="2"/>
    </row>
    <row r="799">
      <c r="G799" s="2"/>
      <c r="H799" s="2"/>
      <c r="J799" s="2"/>
      <c r="L799" s="2"/>
      <c r="M799" s="2"/>
      <c r="N799" s="2"/>
      <c r="O799" s="2"/>
      <c r="P799" s="2"/>
    </row>
    <row r="800">
      <c r="G800" s="2"/>
      <c r="H800" s="2"/>
      <c r="J800" s="2"/>
      <c r="L800" s="2"/>
      <c r="M800" s="2"/>
      <c r="N800" s="2"/>
      <c r="O800" s="2"/>
      <c r="P800" s="2"/>
    </row>
    <row r="801">
      <c r="G801" s="2"/>
      <c r="H801" s="2"/>
      <c r="J801" s="2"/>
      <c r="L801" s="2"/>
      <c r="M801" s="2"/>
      <c r="N801" s="2"/>
      <c r="O801" s="2"/>
      <c r="P801" s="2"/>
    </row>
    <row r="802">
      <c r="G802" s="2"/>
      <c r="H802" s="2"/>
      <c r="J802" s="2"/>
      <c r="L802" s="2"/>
      <c r="M802" s="2"/>
      <c r="N802" s="2"/>
      <c r="O802" s="2"/>
      <c r="P802" s="2"/>
    </row>
    <row r="803">
      <c r="G803" s="2"/>
      <c r="H803" s="2"/>
      <c r="J803" s="2"/>
      <c r="L803" s="2"/>
      <c r="M803" s="2"/>
      <c r="N803" s="2"/>
      <c r="O803" s="2"/>
      <c r="P803" s="2"/>
    </row>
    <row r="804">
      <c r="G804" s="2"/>
      <c r="H804" s="2"/>
      <c r="J804" s="2"/>
      <c r="L804" s="2"/>
      <c r="M804" s="2"/>
      <c r="N804" s="2"/>
      <c r="O804" s="2"/>
      <c r="P804" s="2"/>
    </row>
    <row r="805">
      <c r="G805" s="2"/>
      <c r="H805" s="2"/>
      <c r="J805" s="2"/>
      <c r="L805" s="2"/>
      <c r="M805" s="2"/>
      <c r="N805" s="2"/>
      <c r="O805" s="2"/>
      <c r="P805" s="2"/>
    </row>
    <row r="806">
      <c r="G806" s="2"/>
      <c r="H806" s="2"/>
      <c r="J806" s="2"/>
      <c r="L806" s="2"/>
      <c r="M806" s="2"/>
      <c r="N806" s="2"/>
      <c r="O806" s="2"/>
      <c r="P806" s="2"/>
    </row>
    <row r="807">
      <c r="G807" s="2"/>
      <c r="H807" s="2"/>
      <c r="J807" s="2"/>
      <c r="L807" s="2"/>
      <c r="M807" s="2"/>
      <c r="N807" s="2"/>
      <c r="O807" s="2"/>
      <c r="P807" s="2"/>
    </row>
    <row r="808">
      <c r="G808" s="2"/>
      <c r="H808" s="2"/>
      <c r="J808" s="2"/>
      <c r="L808" s="2"/>
      <c r="M808" s="2"/>
      <c r="N808" s="2"/>
      <c r="O808" s="2"/>
      <c r="P808" s="2"/>
    </row>
    <row r="809">
      <c r="G809" s="2"/>
      <c r="H809" s="2"/>
      <c r="J809" s="2"/>
      <c r="L809" s="2"/>
      <c r="M809" s="2"/>
      <c r="N809" s="2"/>
      <c r="O809" s="2"/>
      <c r="P809" s="2"/>
    </row>
    <row r="810">
      <c r="G810" s="2"/>
      <c r="H810" s="2"/>
      <c r="J810" s="2"/>
      <c r="L810" s="2"/>
      <c r="M810" s="2"/>
      <c r="N810" s="2"/>
      <c r="O810" s="2"/>
      <c r="P810" s="2"/>
    </row>
    <row r="811">
      <c r="G811" s="2"/>
      <c r="H811" s="2"/>
      <c r="J811" s="2"/>
      <c r="L811" s="2"/>
      <c r="M811" s="2"/>
      <c r="N811" s="2"/>
      <c r="O811" s="2"/>
      <c r="P811" s="2"/>
    </row>
    <row r="812">
      <c r="G812" s="2"/>
      <c r="H812" s="2"/>
      <c r="J812" s="2"/>
      <c r="L812" s="2"/>
      <c r="M812" s="2"/>
      <c r="N812" s="2"/>
      <c r="O812" s="2"/>
      <c r="P812" s="2"/>
    </row>
    <row r="813">
      <c r="G813" s="2"/>
      <c r="H813" s="2"/>
      <c r="J813" s="2"/>
      <c r="L813" s="2"/>
      <c r="M813" s="2"/>
      <c r="N813" s="2"/>
      <c r="O813" s="2"/>
      <c r="P813" s="2"/>
    </row>
    <row r="814">
      <c r="G814" s="2"/>
      <c r="H814" s="2"/>
      <c r="J814" s="2"/>
      <c r="L814" s="2"/>
      <c r="M814" s="2"/>
      <c r="N814" s="2"/>
      <c r="O814" s="2"/>
      <c r="P814" s="2"/>
    </row>
    <row r="815">
      <c r="G815" s="2"/>
      <c r="H815" s="2"/>
      <c r="J815" s="2"/>
      <c r="L815" s="2"/>
      <c r="M815" s="2"/>
      <c r="N815" s="2"/>
      <c r="O815" s="2"/>
      <c r="P815" s="2"/>
    </row>
    <row r="816">
      <c r="G816" s="2"/>
      <c r="H816" s="2"/>
      <c r="J816" s="2"/>
      <c r="L816" s="2"/>
      <c r="M816" s="2"/>
      <c r="N816" s="2"/>
      <c r="O816" s="2"/>
      <c r="P816" s="2"/>
    </row>
    <row r="817">
      <c r="G817" s="2"/>
      <c r="H817" s="2"/>
      <c r="J817" s="2"/>
      <c r="L817" s="2"/>
      <c r="M817" s="2"/>
      <c r="N817" s="2"/>
      <c r="O817" s="2"/>
      <c r="P817" s="2"/>
    </row>
    <row r="818">
      <c r="G818" s="2"/>
      <c r="H818" s="2"/>
      <c r="J818" s="2"/>
      <c r="L818" s="2"/>
      <c r="M818" s="2"/>
      <c r="N818" s="2"/>
      <c r="O818" s="2"/>
      <c r="P818" s="2"/>
    </row>
    <row r="819">
      <c r="G819" s="2"/>
      <c r="H819" s="2"/>
      <c r="J819" s="2"/>
      <c r="L819" s="2"/>
      <c r="M819" s="2"/>
      <c r="N819" s="2"/>
      <c r="O819" s="2"/>
      <c r="P819" s="2"/>
    </row>
    <row r="820">
      <c r="G820" s="2"/>
      <c r="H820" s="2"/>
      <c r="J820" s="2"/>
      <c r="L820" s="2"/>
      <c r="M820" s="2"/>
      <c r="N820" s="2"/>
      <c r="O820" s="2"/>
      <c r="P820" s="2"/>
    </row>
    <row r="821">
      <c r="G821" s="2"/>
      <c r="H821" s="2"/>
      <c r="J821" s="2"/>
      <c r="L821" s="2"/>
      <c r="M821" s="2"/>
      <c r="N821" s="2"/>
      <c r="O821" s="2"/>
      <c r="P821" s="2"/>
    </row>
    <row r="822">
      <c r="G822" s="2"/>
      <c r="H822" s="2"/>
      <c r="J822" s="2"/>
      <c r="L822" s="2"/>
      <c r="M822" s="2"/>
      <c r="N822" s="2"/>
      <c r="O822" s="2"/>
      <c r="P822" s="2"/>
    </row>
    <row r="823">
      <c r="G823" s="2"/>
      <c r="H823" s="2"/>
      <c r="J823" s="2"/>
      <c r="L823" s="2"/>
      <c r="M823" s="2"/>
      <c r="N823" s="2"/>
      <c r="O823" s="2"/>
      <c r="P823" s="2"/>
    </row>
    <row r="824">
      <c r="G824" s="2"/>
      <c r="H824" s="2"/>
      <c r="J824" s="2"/>
      <c r="L824" s="2"/>
      <c r="M824" s="2"/>
      <c r="N824" s="2"/>
      <c r="O824" s="2"/>
      <c r="P824" s="2"/>
    </row>
    <row r="825">
      <c r="G825" s="2"/>
      <c r="H825" s="2"/>
      <c r="J825" s="2"/>
      <c r="L825" s="2"/>
      <c r="M825" s="2"/>
      <c r="N825" s="2"/>
      <c r="O825" s="2"/>
      <c r="P825" s="2"/>
    </row>
    <row r="826">
      <c r="G826" s="2"/>
      <c r="H826" s="2"/>
      <c r="J826" s="2"/>
      <c r="L826" s="2"/>
      <c r="M826" s="2"/>
      <c r="N826" s="2"/>
      <c r="O826" s="2"/>
      <c r="P826" s="2"/>
    </row>
    <row r="827">
      <c r="G827" s="2"/>
      <c r="H827" s="2"/>
      <c r="J827" s="2"/>
      <c r="L827" s="2"/>
      <c r="M827" s="2"/>
      <c r="N827" s="2"/>
      <c r="O827" s="2"/>
      <c r="P827" s="2"/>
    </row>
    <row r="828">
      <c r="G828" s="2"/>
      <c r="H828" s="2"/>
      <c r="J828" s="2"/>
      <c r="L828" s="2"/>
      <c r="M828" s="2"/>
      <c r="N828" s="2"/>
      <c r="O828" s="2"/>
      <c r="P828" s="2"/>
    </row>
    <row r="829">
      <c r="G829" s="2"/>
      <c r="H829" s="2"/>
      <c r="J829" s="2"/>
      <c r="L829" s="2"/>
      <c r="M829" s="2"/>
      <c r="N829" s="2"/>
      <c r="O829" s="2"/>
      <c r="P829" s="2"/>
    </row>
    <row r="830">
      <c r="G830" s="2"/>
      <c r="H830" s="2"/>
      <c r="J830" s="2"/>
      <c r="L830" s="2"/>
      <c r="M830" s="2"/>
      <c r="N830" s="2"/>
      <c r="O830" s="2"/>
      <c r="P830" s="2"/>
    </row>
    <row r="831">
      <c r="G831" s="2"/>
      <c r="H831" s="2"/>
      <c r="J831" s="2"/>
      <c r="L831" s="2"/>
      <c r="M831" s="2"/>
      <c r="N831" s="2"/>
      <c r="O831" s="2"/>
      <c r="P831" s="2"/>
    </row>
    <row r="832">
      <c r="G832" s="2"/>
      <c r="H832" s="2"/>
      <c r="J832" s="2"/>
      <c r="L832" s="2"/>
      <c r="M832" s="2"/>
      <c r="N832" s="2"/>
      <c r="O832" s="2"/>
      <c r="P832" s="2"/>
    </row>
    <row r="833">
      <c r="G833" s="2"/>
      <c r="H833" s="2"/>
      <c r="J833" s="2"/>
      <c r="L833" s="2"/>
      <c r="M833" s="2"/>
      <c r="N833" s="2"/>
      <c r="O833" s="2"/>
      <c r="P833" s="2"/>
    </row>
    <row r="834">
      <c r="G834" s="2"/>
      <c r="H834" s="2"/>
      <c r="J834" s="2"/>
      <c r="L834" s="2"/>
      <c r="M834" s="2"/>
      <c r="N834" s="2"/>
      <c r="O834" s="2"/>
      <c r="P834" s="2"/>
    </row>
    <row r="835">
      <c r="G835" s="2"/>
      <c r="H835" s="2"/>
      <c r="J835" s="2"/>
      <c r="L835" s="2"/>
      <c r="M835" s="2"/>
      <c r="N835" s="2"/>
      <c r="O835" s="2"/>
      <c r="P835" s="2"/>
    </row>
    <row r="836">
      <c r="G836" s="2"/>
      <c r="H836" s="2"/>
      <c r="J836" s="2"/>
      <c r="L836" s="2"/>
      <c r="M836" s="2"/>
      <c r="N836" s="2"/>
      <c r="O836" s="2"/>
      <c r="P836" s="2"/>
    </row>
    <row r="837">
      <c r="G837" s="2"/>
      <c r="H837" s="2"/>
      <c r="J837" s="2"/>
      <c r="L837" s="2"/>
      <c r="M837" s="2"/>
      <c r="N837" s="2"/>
      <c r="O837" s="2"/>
      <c r="P837" s="2"/>
    </row>
    <row r="838">
      <c r="G838" s="2"/>
      <c r="H838" s="2"/>
      <c r="J838" s="2"/>
      <c r="L838" s="2"/>
      <c r="M838" s="2"/>
      <c r="N838" s="2"/>
      <c r="O838" s="2"/>
      <c r="P838" s="2"/>
    </row>
    <row r="839">
      <c r="G839" s="2"/>
      <c r="H839" s="2"/>
      <c r="J839" s="2"/>
      <c r="L839" s="2"/>
      <c r="M839" s="2"/>
      <c r="N839" s="2"/>
      <c r="O839" s="2"/>
      <c r="P839" s="2"/>
    </row>
    <row r="840">
      <c r="G840" s="2"/>
      <c r="H840" s="2"/>
      <c r="J840" s="2"/>
      <c r="L840" s="2"/>
      <c r="M840" s="2"/>
      <c r="N840" s="2"/>
      <c r="O840" s="2"/>
      <c r="P840" s="2"/>
    </row>
    <row r="841">
      <c r="G841" s="2"/>
      <c r="H841" s="2"/>
      <c r="J841" s="2"/>
      <c r="L841" s="2"/>
      <c r="M841" s="2"/>
      <c r="N841" s="2"/>
      <c r="O841" s="2"/>
      <c r="P841" s="2"/>
    </row>
    <row r="842">
      <c r="G842" s="2"/>
      <c r="H842" s="2"/>
      <c r="J842" s="2"/>
      <c r="L842" s="2"/>
      <c r="M842" s="2"/>
      <c r="N842" s="2"/>
      <c r="O842" s="2"/>
      <c r="P842" s="2"/>
    </row>
    <row r="843">
      <c r="G843" s="2"/>
      <c r="H843" s="2"/>
      <c r="J843" s="2"/>
      <c r="L843" s="2"/>
      <c r="M843" s="2"/>
      <c r="N843" s="2"/>
      <c r="O843" s="2"/>
      <c r="P843" s="2"/>
    </row>
    <row r="844">
      <c r="G844" s="2"/>
      <c r="H844" s="2"/>
      <c r="J844" s="2"/>
      <c r="L844" s="2"/>
      <c r="M844" s="2"/>
      <c r="N844" s="2"/>
      <c r="O844" s="2"/>
      <c r="P844" s="2"/>
    </row>
    <row r="845">
      <c r="G845" s="2"/>
      <c r="H845" s="2"/>
      <c r="J845" s="2"/>
      <c r="L845" s="2"/>
      <c r="M845" s="2"/>
      <c r="N845" s="2"/>
      <c r="O845" s="2"/>
      <c r="P845" s="2"/>
    </row>
    <row r="846">
      <c r="G846" s="2"/>
      <c r="H846" s="2"/>
      <c r="J846" s="2"/>
      <c r="L846" s="2"/>
      <c r="M846" s="2"/>
      <c r="N846" s="2"/>
      <c r="O846" s="2"/>
      <c r="P846" s="2"/>
    </row>
    <row r="847">
      <c r="G847" s="2"/>
      <c r="H847" s="2"/>
      <c r="J847" s="2"/>
      <c r="L847" s="2"/>
      <c r="M847" s="2"/>
      <c r="N847" s="2"/>
      <c r="O847" s="2"/>
      <c r="P847" s="2"/>
    </row>
    <row r="848">
      <c r="G848" s="2"/>
      <c r="H848" s="2"/>
      <c r="J848" s="2"/>
      <c r="L848" s="2"/>
      <c r="M848" s="2"/>
      <c r="N848" s="2"/>
      <c r="O848" s="2"/>
      <c r="P848" s="2"/>
    </row>
    <row r="849">
      <c r="G849" s="2"/>
      <c r="H849" s="2"/>
      <c r="J849" s="2"/>
      <c r="L849" s="2"/>
      <c r="M849" s="2"/>
      <c r="N849" s="2"/>
      <c r="O849" s="2"/>
      <c r="P849" s="2"/>
    </row>
    <row r="850">
      <c r="G850" s="2"/>
      <c r="H850" s="2"/>
      <c r="J850" s="2"/>
      <c r="L850" s="2"/>
      <c r="M850" s="2"/>
      <c r="N850" s="2"/>
      <c r="O850" s="2"/>
      <c r="P850" s="2"/>
    </row>
    <row r="851">
      <c r="G851" s="2"/>
      <c r="H851" s="2"/>
      <c r="J851" s="2"/>
      <c r="L851" s="2"/>
      <c r="M851" s="2"/>
      <c r="N851" s="2"/>
      <c r="O851" s="2"/>
      <c r="P851" s="2"/>
    </row>
    <row r="852">
      <c r="G852" s="2"/>
      <c r="H852" s="2"/>
      <c r="J852" s="2"/>
      <c r="L852" s="2"/>
      <c r="M852" s="2"/>
      <c r="N852" s="2"/>
      <c r="O852" s="2"/>
      <c r="P852" s="2"/>
    </row>
    <row r="853">
      <c r="G853" s="2"/>
      <c r="H853" s="2"/>
      <c r="J853" s="2"/>
      <c r="L853" s="2"/>
      <c r="M853" s="2"/>
      <c r="N853" s="2"/>
      <c r="O853" s="2"/>
      <c r="P853" s="2"/>
    </row>
    <row r="854">
      <c r="G854" s="2"/>
      <c r="H854" s="2"/>
      <c r="J854" s="2"/>
      <c r="L854" s="2"/>
      <c r="M854" s="2"/>
      <c r="N854" s="2"/>
      <c r="O854" s="2"/>
      <c r="P854" s="2"/>
    </row>
    <row r="855">
      <c r="G855" s="2"/>
      <c r="H855" s="2"/>
      <c r="J855" s="2"/>
      <c r="L855" s="2"/>
      <c r="M855" s="2"/>
      <c r="N855" s="2"/>
      <c r="O855" s="2"/>
      <c r="P855" s="2"/>
    </row>
    <row r="856">
      <c r="G856" s="2"/>
      <c r="H856" s="2"/>
      <c r="J856" s="2"/>
      <c r="L856" s="2"/>
      <c r="M856" s="2"/>
      <c r="N856" s="2"/>
      <c r="O856" s="2"/>
      <c r="P856" s="2"/>
    </row>
    <row r="857">
      <c r="G857" s="2"/>
      <c r="H857" s="2"/>
      <c r="J857" s="2"/>
      <c r="L857" s="2"/>
      <c r="M857" s="2"/>
      <c r="N857" s="2"/>
      <c r="O857" s="2"/>
      <c r="P857" s="2"/>
    </row>
    <row r="858">
      <c r="G858" s="2"/>
      <c r="H858" s="2"/>
      <c r="J858" s="2"/>
      <c r="L858" s="2"/>
      <c r="M858" s="2"/>
      <c r="N858" s="2"/>
      <c r="O858" s="2"/>
      <c r="P858" s="2"/>
    </row>
    <row r="859">
      <c r="G859" s="2"/>
      <c r="H859" s="2"/>
      <c r="J859" s="2"/>
      <c r="L859" s="2"/>
      <c r="M859" s="2"/>
      <c r="N859" s="2"/>
      <c r="O859" s="2"/>
      <c r="P859" s="2"/>
    </row>
    <row r="860">
      <c r="G860" s="2"/>
      <c r="H860" s="2"/>
      <c r="J860" s="2"/>
      <c r="L860" s="2"/>
      <c r="M860" s="2"/>
      <c r="N860" s="2"/>
      <c r="O860" s="2"/>
      <c r="P860" s="2"/>
    </row>
    <row r="861">
      <c r="G861" s="2"/>
      <c r="H861" s="2"/>
      <c r="J861" s="2"/>
      <c r="L861" s="2"/>
      <c r="M861" s="2"/>
      <c r="N861" s="2"/>
      <c r="O861" s="2"/>
      <c r="P861" s="2"/>
    </row>
    <row r="862">
      <c r="G862" s="2"/>
      <c r="H862" s="2"/>
      <c r="J862" s="2"/>
      <c r="L862" s="2"/>
      <c r="M862" s="2"/>
      <c r="N862" s="2"/>
      <c r="O862" s="2"/>
      <c r="P862" s="2"/>
    </row>
    <row r="863">
      <c r="G863" s="2"/>
      <c r="H863" s="2"/>
      <c r="J863" s="2"/>
      <c r="L863" s="2"/>
      <c r="M863" s="2"/>
      <c r="N863" s="2"/>
      <c r="O863" s="2"/>
      <c r="P863" s="2"/>
    </row>
    <row r="864">
      <c r="G864" s="2"/>
      <c r="H864" s="2"/>
      <c r="J864" s="2"/>
      <c r="L864" s="2"/>
      <c r="M864" s="2"/>
      <c r="N864" s="2"/>
      <c r="O864" s="2"/>
      <c r="P864" s="2"/>
    </row>
    <row r="865">
      <c r="G865" s="2"/>
      <c r="H865" s="2"/>
      <c r="J865" s="2"/>
      <c r="L865" s="2"/>
      <c r="M865" s="2"/>
      <c r="N865" s="2"/>
      <c r="O865" s="2"/>
      <c r="P865" s="2"/>
    </row>
    <row r="866">
      <c r="G866" s="2"/>
      <c r="H866" s="2"/>
      <c r="J866" s="2"/>
      <c r="L866" s="2"/>
      <c r="M866" s="2"/>
      <c r="N866" s="2"/>
      <c r="O866" s="2"/>
      <c r="P866" s="2"/>
    </row>
    <row r="867">
      <c r="G867" s="2"/>
      <c r="H867" s="2"/>
      <c r="J867" s="2"/>
      <c r="L867" s="2"/>
      <c r="M867" s="2"/>
      <c r="N867" s="2"/>
      <c r="O867" s="2"/>
      <c r="P867" s="2"/>
    </row>
    <row r="868">
      <c r="G868" s="2"/>
      <c r="H868" s="2"/>
      <c r="J868" s="2"/>
      <c r="L868" s="2"/>
      <c r="M868" s="2"/>
      <c r="N868" s="2"/>
      <c r="O868" s="2"/>
      <c r="P868" s="2"/>
    </row>
    <row r="869">
      <c r="G869" s="2"/>
      <c r="H869" s="2"/>
      <c r="J869" s="2"/>
      <c r="L869" s="2"/>
      <c r="M869" s="2"/>
      <c r="N869" s="2"/>
      <c r="O869" s="2"/>
      <c r="P869" s="2"/>
    </row>
    <row r="870">
      <c r="G870" s="2"/>
      <c r="H870" s="2"/>
      <c r="J870" s="2"/>
      <c r="L870" s="2"/>
      <c r="M870" s="2"/>
      <c r="N870" s="2"/>
      <c r="O870" s="2"/>
      <c r="P870" s="2"/>
    </row>
    <row r="871">
      <c r="G871" s="2"/>
      <c r="H871" s="2"/>
      <c r="J871" s="2"/>
      <c r="L871" s="2"/>
      <c r="M871" s="2"/>
      <c r="N871" s="2"/>
      <c r="O871" s="2"/>
      <c r="P871" s="2"/>
    </row>
    <row r="872">
      <c r="G872" s="2"/>
      <c r="H872" s="2"/>
      <c r="J872" s="2"/>
      <c r="L872" s="2"/>
      <c r="M872" s="2"/>
      <c r="N872" s="2"/>
      <c r="O872" s="2"/>
      <c r="P872" s="2"/>
    </row>
    <row r="873">
      <c r="G873" s="2"/>
      <c r="H873" s="2"/>
      <c r="J873" s="2"/>
      <c r="L873" s="2"/>
      <c r="M873" s="2"/>
      <c r="N873" s="2"/>
      <c r="O873" s="2"/>
      <c r="P873" s="2"/>
    </row>
    <row r="874">
      <c r="G874" s="2"/>
      <c r="H874" s="2"/>
      <c r="J874" s="2"/>
      <c r="L874" s="2"/>
      <c r="M874" s="2"/>
      <c r="N874" s="2"/>
      <c r="O874" s="2"/>
      <c r="P874" s="2"/>
    </row>
    <row r="875">
      <c r="G875" s="2"/>
      <c r="H875" s="2"/>
      <c r="J875" s="2"/>
      <c r="L875" s="2"/>
      <c r="M875" s="2"/>
      <c r="N875" s="2"/>
      <c r="O875" s="2"/>
      <c r="P875" s="2"/>
    </row>
    <row r="876">
      <c r="G876" s="2"/>
      <c r="H876" s="2"/>
      <c r="J876" s="2"/>
      <c r="L876" s="2"/>
      <c r="M876" s="2"/>
      <c r="N876" s="2"/>
      <c r="O876" s="2"/>
      <c r="P876" s="2"/>
    </row>
    <row r="877">
      <c r="G877" s="2"/>
      <c r="H877" s="2"/>
      <c r="J877" s="2"/>
      <c r="L877" s="2"/>
      <c r="M877" s="2"/>
      <c r="N877" s="2"/>
      <c r="O877" s="2"/>
      <c r="P877" s="2"/>
    </row>
    <row r="878">
      <c r="G878" s="2"/>
      <c r="H878" s="2"/>
      <c r="J878" s="2"/>
      <c r="L878" s="2"/>
      <c r="M878" s="2"/>
      <c r="N878" s="2"/>
      <c r="O878" s="2"/>
      <c r="P878" s="2"/>
    </row>
    <row r="879">
      <c r="G879" s="2"/>
      <c r="H879" s="2"/>
      <c r="J879" s="2"/>
      <c r="L879" s="2"/>
      <c r="M879" s="2"/>
      <c r="N879" s="2"/>
      <c r="O879" s="2"/>
      <c r="P879" s="2"/>
    </row>
    <row r="880">
      <c r="G880" s="2"/>
      <c r="H880" s="2"/>
      <c r="J880" s="2"/>
      <c r="L880" s="2"/>
      <c r="M880" s="2"/>
      <c r="N880" s="2"/>
      <c r="O880" s="2"/>
      <c r="P880" s="2"/>
    </row>
    <row r="881">
      <c r="G881" s="2"/>
      <c r="H881" s="2"/>
      <c r="J881" s="2"/>
      <c r="L881" s="2"/>
      <c r="M881" s="2"/>
      <c r="N881" s="2"/>
      <c r="O881" s="2"/>
      <c r="P881" s="2"/>
    </row>
    <row r="882">
      <c r="G882" s="2"/>
      <c r="H882" s="2"/>
      <c r="J882" s="2"/>
      <c r="L882" s="2"/>
      <c r="M882" s="2"/>
      <c r="N882" s="2"/>
      <c r="O882" s="2"/>
      <c r="P882" s="2"/>
    </row>
    <row r="883">
      <c r="G883" s="2"/>
      <c r="H883" s="2"/>
      <c r="J883" s="2"/>
      <c r="L883" s="2"/>
      <c r="M883" s="2"/>
      <c r="N883" s="2"/>
      <c r="O883" s="2"/>
      <c r="P883" s="2"/>
    </row>
    <row r="884">
      <c r="G884" s="2"/>
      <c r="H884" s="2"/>
      <c r="J884" s="2"/>
      <c r="L884" s="2"/>
      <c r="M884" s="2"/>
      <c r="N884" s="2"/>
      <c r="O884" s="2"/>
      <c r="P884" s="2"/>
    </row>
    <row r="885">
      <c r="G885" s="2"/>
      <c r="H885" s="2"/>
      <c r="J885" s="2"/>
      <c r="L885" s="2"/>
      <c r="M885" s="2"/>
      <c r="N885" s="2"/>
      <c r="O885" s="2"/>
      <c r="P885" s="2"/>
    </row>
    <row r="886">
      <c r="G886" s="2"/>
      <c r="H886" s="2"/>
      <c r="J886" s="2"/>
      <c r="L886" s="2"/>
      <c r="M886" s="2"/>
      <c r="N886" s="2"/>
      <c r="O886" s="2"/>
      <c r="P886" s="2"/>
    </row>
    <row r="887">
      <c r="G887" s="2"/>
      <c r="H887" s="2"/>
      <c r="J887" s="2"/>
      <c r="L887" s="2"/>
      <c r="M887" s="2"/>
      <c r="N887" s="2"/>
      <c r="O887" s="2"/>
      <c r="P887" s="2"/>
    </row>
    <row r="888">
      <c r="G888" s="2"/>
      <c r="H888" s="2"/>
      <c r="J888" s="2"/>
      <c r="L888" s="2"/>
      <c r="M888" s="2"/>
      <c r="N888" s="2"/>
      <c r="O888" s="2"/>
      <c r="P888" s="2"/>
    </row>
    <row r="889">
      <c r="G889" s="2"/>
      <c r="H889" s="2"/>
      <c r="J889" s="2"/>
      <c r="L889" s="2"/>
      <c r="M889" s="2"/>
      <c r="N889" s="2"/>
      <c r="O889" s="2"/>
      <c r="P889" s="2"/>
    </row>
    <row r="890">
      <c r="G890" s="2"/>
      <c r="H890" s="2"/>
      <c r="J890" s="2"/>
      <c r="L890" s="2"/>
      <c r="M890" s="2"/>
      <c r="N890" s="2"/>
      <c r="O890" s="2"/>
      <c r="P890" s="2"/>
    </row>
    <row r="891">
      <c r="G891" s="2"/>
      <c r="H891" s="2"/>
      <c r="J891" s="2"/>
      <c r="L891" s="2"/>
      <c r="M891" s="2"/>
      <c r="N891" s="2"/>
      <c r="O891" s="2"/>
      <c r="P891" s="2"/>
    </row>
    <row r="892">
      <c r="G892" s="2"/>
      <c r="H892" s="2"/>
      <c r="J892" s="2"/>
      <c r="L892" s="2"/>
      <c r="M892" s="2"/>
      <c r="N892" s="2"/>
      <c r="O892" s="2"/>
      <c r="P892" s="2"/>
    </row>
    <row r="893">
      <c r="G893" s="2"/>
      <c r="H893" s="2"/>
      <c r="J893" s="2"/>
      <c r="L893" s="2"/>
      <c r="M893" s="2"/>
      <c r="N893" s="2"/>
      <c r="O893" s="2"/>
      <c r="P893" s="2"/>
    </row>
    <row r="894">
      <c r="G894" s="2"/>
      <c r="H894" s="2"/>
      <c r="J894" s="2"/>
      <c r="L894" s="2"/>
      <c r="M894" s="2"/>
      <c r="N894" s="2"/>
      <c r="O894" s="2"/>
      <c r="P894" s="2"/>
    </row>
    <row r="895">
      <c r="G895" s="2"/>
      <c r="H895" s="2"/>
      <c r="J895" s="2"/>
      <c r="L895" s="2"/>
      <c r="M895" s="2"/>
      <c r="N895" s="2"/>
      <c r="O895" s="2"/>
      <c r="P895" s="2"/>
    </row>
    <row r="896">
      <c r="G896" s="2"/>
      <c r="H896" s="2"/>
      <c r="J896" s="2"/>
      <c r="L896" s="2"/>
      <c r="M896" s="2"/>
      <c r="N896" s="2"/>
      <c r="O896" s="2"/>
      <c r="P896" s="2"/>
    </row>
    <row r="897">
      <c r="G897" s="2"/>
      <c r="H897" s="2"/>
      <c r="J897" s="2"/>
      <c r="L897" s="2"/>
      <c r="M897" s="2"/>
      <c r="N897" s="2"/>
      <c r="O897" s="2"/>
      <c r="P897" s="2"/>
    </row>
    <row r="898">
      <c r="G898" s="2"/>
      <c r="H898" s="2"/>
      <c r="J898" s="2"/>
      <c r="L898" s="2"/>
      <c r="M898" s="2"/>
      <c r="N898" s="2"/>
      <c r="O898" s="2"/>
      <c r="P898" s="2"/>
    </row>
    <row r="899">
      <c r="G899" s="2"/>
      <c r="H899" s="2"/>
      <c r="J899" s="2"/>
      <c r="L899" s="2"/>
      <c r="M899" s="2"/>
      <c r="N899" s="2"/>
      <c r="O899" s="2"/>
      <c r="P899" s="2"/>
    </row>
    <row r="900">
      <c r="G900" s="2"/>
      <c r="H900" s="2"/>
      <c r="J900" s="2"/>
      <c r="L900" s="2"/>
      <c r="M900" s="2"/>
      <c r="N900" s="2"/>
      <c r="O900" s="2"/>
      <c r="P900" s="2"/>
    </row>
    <row r="901">
      <c r="G901" s="2"/>
      <c r="H901" s="2"/>
      <c r="J901" s="2"/>
      <c r="L901" s="2"/>
      <c r="M901" s="2"/>
      <c r="N901" s="2"/>
      <c r="O901" s="2"/>
      <c r="P901" s="2"/>
    </row>
    <row r="902">
      <c r="G902" s="2"/>
      <c r="H902" s="2"/>
      <c r="J902" s="2"/>
      <c r="L902" s="2"/>
      <c r="M902" s="2"/>
      <c r="N902" s="2"/>
      <c r="O902" s="2"/>
      <c r="P902" s="2"/>
    </row>
    <row r="903">
      <c r="G903" s="2"/>
      <c r="H903" s="2"/>
      <c r="J903" s="2"/>
      <c r="L903" s="2"/>
      <c r="M903" s="2"/>
      <c r="N903" s="2"/>
      <c r="O903" s="2"/>
      <c r="P903" s="2"/>
    </row>
    <row r="904">
      <c r="G904" s="2"/>
      <c r="H904" s="2"/>
      <c r="J904" s="2"/>
      <c r="L904" s="2"/>
      <c r="M904" s="2"/>
      <c r="N904" s="2"/>
      <c r="O904" s="2"/>
      <c r="P904" s="2"/>
    </row>
    <row r="905">
      <c r="G905" s="2"/>
      <c r="H905" s="2"/>
      <c r="J905" s="2"/>
      <c r="L905" s="2"/>
      <c r="M905" s="2"/>
      <c r="N905" s="2"/>
      <c r="O905" s="2"/>
      <c r="P905" s="2"/>
    </row>
    <row r="906">
      <c r="G906" s="2"/>
      <c r="H906" s="2"/>
      <c r="J906" s="2"/>
      <c r="L906" s="2"/>
      <c r="M906" s="2"/>
      <c r="N906" s="2"/>
      <c r="O906" s="2"/>
      <c r="P906" s="2"/>
    </row>
    <row r="907">
      <c r="G907" s="2"/>
      <c r="H907" s="2"/>
      <c r="J907" s="2"/>
      <c r="L907" s="2"/>
      <c r="M907" s="2"/>
      <c r="N907" s="2"/>
      <c r="O907" s="2"/>
      <c r="P907" s="2"/>
    </row>
    <row r="908">
      <c r="G908" s="2"/>
      <c r="H908" s="2"/>
      <c r="J908" s="2"/>
      <c r="L908" s="2"/>
      <c r="M908" s="2"/>
      <c r="N908" s="2"/>
      <c r="O908" s="2"/>
      <c r="P908" s="2"/>
    </row>
    <row r="909">
      <c r="G909" s="2"/>
      <c r="H909" s="2"/>
      <c r="J909" s="2"/>
      <c r="L909" s="2"/>
      <c r="M909" s="2"/>
      <c r="N909" s="2"/>
      <c r="O909" s="2"/>
      <c r="P909" s="2"/>
    </row>
    <row r="910">
      <c r="G910" s="2"/>
      <c r="H910" s="2"/>
      <c r="J910" s="2"/>
      <c r="L910" s="2"/>
      <c r="M910" s="2"/>
      <c r="N910" s="2"/>
      <c r="O910" s="2"/>
      <c r="P910" s="2"/>
    </row>
    <row r="911">
      <c r="G911" s="2"/>
      <c r="H911" s="2"/>
      <c r="J911" s="2"/>
      <c r="L911" s="2"/>
      <c r="M911" s="2"/>
      <c r="N911" s="2"/>
      <c r="O911" s="2"/>
      <c r="P911" s="2"/>
    </row>
    <row r="912">
      <c r="G912" s="2"/>
      <c r="H912" s="2"/>
      <c r="J912" s="2"/>
      <c r="L912" s="2"/>
      <c r="M912" s="2"/>
      <c r="N912" s="2"/>
      <c r="O912" s="2"/>
      <c r="P912" s="2"/>
    </row>
    <row r="913">
      <c r="G913" s="2"/>
      <c r="H913" s="2"/>
      <c r="J913" s="2"/>
      <c r="L913" s="2"/>
      <c r="M913" s="2"/>
      <c r="N913" s="2"/>
      <c r="O913" s="2"/>
      <c r="P913" s="2"/>
    </row>
    <row r="914">
      <c r="G914" s="2"/>
      <c r="H914" s="2"/>
      <c r="J914" s="2"/>
      <c r="L914" s="2"/>
      <c r="M914" s="2"/>
      <c r="N914" s="2"/>
      <c r="O914" s="2"/>
      <c r="P914" s="2"/>
    </row>
    <row r="915">
      <c r="G915" s="2"/>
      <c r="H915" s="2"/>
      <c r="J915" s="2"/>
      <c r="L915" s="2"/>
      <c r="M915" s="2"/>
      <c r="N915" s="2"/>
      <c r="O915" s="2"/>
      <c r="P915" s="2"/>
    </row>
    <row r="916">
      <c r="G916" s="2"/>
      <c r="H916" s="2"/>
      <c r="J916" s="2"/>
      <c r="L916" s="2"/>
      <c r="M916" s="2"/>
      <c r="N916" s="2"/>
      <c r="O916" s="2"/>
      <c r="P916" s="2"/>
    </row>
    <row r="917">
      <c r="G917" s="2"/>
      <c r="H917" s="2"/>
      <c r="J917" s="2"/>
      <c r="L917" s="2"/>
      <c r="M917" s="2"/>
      <c r="N917" s="2"/>
      <c r="O917" s="2"/>
      <c r="P917" s="2"/>
    </row>
    <row r="918">
      <c r="G918" s="2"/>
      <c r="H918" s="2"/>
      <c r="J918" s="2"/>
      <c r="L918" s="2"/>
      <c r="M918" s="2"/>
      <c r="N918" s="2"/>
      <c r="O918" s="2"/>
      <c r="P918" s="2"/>
    </row>
    <row r="919">
      <c r="G919" s="2"/>
      <c r="H919" s="2"/>
      <c r="J919" s="2"/>
      <c r="L919" s="2"/>
      <c r="M919" s="2"/>
      <c r="N919" s="2"/>
      <c r="O919" s="2"/>
      <c r="P919" s="2"/>
    </row>
    <row r="920">
      <c r="G920" s="2"/>
      <c r="H920" s="2"/>
      <c r="J920" s="2"/>
      <c r="L920" s="2"/>
      <c r="M920" s="2"/>
      <c r="N920" s="2"/>
      <c r="O920" s="2"/>
      <c r="P920" s="2"/>
    </row>
    <row r="921">
      <c r="G921" s="2"/>
      <c r="H921" s="2"/>
      <c r="J921" s="2"/>
      <c r="L921" s="2"/>
      <c r="M921" s="2"/>
      <c r="N921" s="2"/>
      <c r="O921" s="2"/>
      <c r="P921" s="2"/>
    </row>
    <row r="922">
      <c r="G922" s="2"/>
      <c r="H922" s="2"/>
      <c r="J922" s="2"/>
      <c r="L922" s="2"/>
      <c r="M922" s="2"/>
      <c r="N922" s="2"/>
      <c r="O922" s="2"/>
      <c r="P922" s="2"/>
    </row>
    <row r="923">
      <c r="G923" s="2"/>
      <c r="H923" s="2"/>
      <c r="J923" s="2"/>
      <c r="L923" s="2"/>
      <c r="M923" s="2"/>
      <c r="N923" s="2"/>
      <c r="O923" s="2"/>
      <c r="P923" s="2"/>
    </row>
    <row r="924">
      <c r="G924" s="2"/>
      <c r="H924" s="2"/>
      <c r="J924" s="2"/>
      <c r="L924" s="2"/>
      <c r="M924" s="2"/>
      <c r="N924" s="2"/>
      <c r="O924" s="2"/>
      <c r="P924" s="2"/>
    </row>
    <row r="925">
      <c r="G925" s="2"/>
      <c r="H925" s="2"/>
      <c r="J925" s="2"/>
      <c r="L925" s="2"/>
      <c r="M925" s="2"/>
      <c r="N925" s="2"/>
      <c r="O925" s="2"/>
      <c r="P925" s="2"/>
    </row>
    <row r="926">
      <c r="G926" s="2"/>
      <c r="H926" s="2"/>
      <c r="J926" s="2"/>
      <c r="L926" s="2"/>
      <c r="M926" s="2"/>
      <c r="N926" s="2"/>
      <c r="O926" s="2"/>
      <c r="P926" s="2"/>
    </row>
    <row r="927">
      <c r="G927" s="2"/>
      <c r="H927" s="2"/>
      <c r="J927" s="2"/>
      <c r="L927" s="2"/>
      <c r="M927" s="2"/>
      <c r="N927" s="2"/>
      <c r="O927" s="2"/>
      <c r="P927" s="2"/>
    </row>
    <row r="928">
      <c r="G928" s="2"/>
      <c r="H928" s="2"/>
      <c r="J928" s="2"/>
      <c r="L928" s="2"/>
      <c r="M928" s="2"/>
      <c r="N928" s="2"/>
      <c r="O928" s="2"/>
      <c r="P928" s="2"/>
    </row>
    <row r="929">
      <c r="G929" s="2"/>
      <c r="H929" s="2"/>
      <c r="J929" s="2"/>
      <c r="L929" s="2"/>
      <c r="M929" s="2"/>
      <c r="N929" s="2"/>
      <c r="O929" s="2"/>
      <c r="P929" s="2"/>
    </row>
    <row r="930">
      <c r="G930" s="2"/>
      <c r="H930" s="2"/>
      <c r="J930" s="2"/>
      <c r="L930" s="2"/>
      <c r="M930" s="2"/>
      <c r="N930" s="2"/>
      <c r="O930" s="2"/>
      <c r="P930" s="2"/>
    </row>
    <row r="931">
      <c r="G931" s="2"/>
      <c r="H931" s="2"/>
      <c r="J931" s="2"/>
      <c r="L931" s="2"/>
      <c r="M931" s="2"/>
      <c r="N931" s="2"/>
      <c r="O931" s="2"/>
      <c r="P931" s="2"/>
    </row>
    <row r="932">
      <c r="G932" s="2"/>
      <c r="H932" s="2"/>
      <c r="J932" s="2"/>
      <c r="L932" s="2"/>
      <c r="M932" s="2"/>
      <c r="N932" s="2"/>
      <c r="O932" s="2"/>
      <c r="P932" s="2"/>
    </row>
    <row r="933">
      <c r="G933" s="2"/>
      <c r="H933" s="2"/>
      <c r="J933" s="2"/>
      <c r="L933" s="2"/>
      <c r="M933" s="2"/>
      <c r="N933" s="2"/>
      <c r="O933" s="2"/>
      <c r="P933" s="2"/>
    </row>
    <row r="934">
      <c r="G934" s="2"/>
      <c r="H934" s="2"/>
      <c r="J934" s="2"/>
      <c r="L934" s="2"/>
      <c r="M934" s="2"/>
      <c r="N934" s="2"/>
      <c r="O934" s="2"/>
      <c r="P934" s="2"/>
    </row>
    <row r="935">
      <c r="G935" s="2"/>
      <c r="H935" s="2"/>
      <c r="J935" s="2"/>
      <c r="L935" s="2"/>
      <c r="M935" s="2"/>
      <c r="N935" s="2"/>
      <c r="O935" s="2"/>
      <c r="P935" s="2"/>
    </row>
    <row r="936">
      <c r="G936" s="2"/>
      <c r="H936" s="2"/>
      <c r="J936" s="2"/>
      <c r="L936" s="2"/>
      <c r="M936" s="2"/>
      <c r="N936" s="2"/>
      <c r="O936" s="2"/>
      <c r="P936" s="2"/>
    </row>
    <row r="937">
      <c r="G937" s="2"/>
      <c r="H937" s="2"/>
      <c r="J937" s="2"/>
      <c r="L937" s="2"/>
      <c r="M937" s="2"/>
      <c r="N937" s="2"/>
      <c r="O937" s="2"/>
      <c r="P937" s="2"/>
    </row>
    <row r="938">
      <c r="G938" s="2"/>
      <c r="H938" s="2"/>
      <c r="J938" s="2"/>
      <c r="L938" s="2"/>
      <c r="M938" s="2"/>
      <c r="N938" s="2"/>
      <c r="O938" s="2"/>
      <c r="P938" s="2"/>
    </row>
    <row r="939">
      <c r="G939" s="2"/>
      <c r="H939" s="2"/>
      <c r="J939" s="2"/>
      <c r="L939" s="2"/>
      <c r="M939" s="2"/>
      <c r="N939" s="2"/>
      <c r="O939" s="2"/>
      <c r="P939" s="2"/>
    </row>
    <row r="940">
      <c r="G940" s="2"/>
      <c r="H940" s="2"/>
      <c r="J940" s="2"/>
      <c r="L940" s="2"/>
      <c r="M940" s="2"/>
      <c r="N940" s="2"/>
      <c r="O940" s="2"/>
      <c r="P940" s="2"/>
    </row>
    <row r="941">
      <c r="G941" s="2"/>
      <c r="H941" s="2"/>
      <c r="J941" s="2"/>
      <c r="L941" s="2"/>
      <c r="M941" s="2"/>
      <c r="N941" s="2"/>
      <c r="O941" s="2"/>
      <c r="P941" s="2"/>
    </row>
    <row r="942">
      <c r="G942" s="2"/>
      <c r="H942" s="2"/>
      <c r="J942" s="2"/>
      <c r="L942" s="2"/>
      <c r="M942" s="2"/>
      <c r="N942" s="2"/>
      <c r="O942" s="2"/>
      <c r="P942" s="2"/>
    </row>
    <row r="943">
      <c r="G943" s="2"/>
      <c r="H943" s="2"/>
      <c r="J943" s="2"/>
      <c r="L943" s="2"/>
      <c r="M943" s="2"/>
      <c r="N943" s="2"/>
      <c r="O943" s="2"/>
      <c r="P943" s="2"/>
    </row>
    <row r="944">
      <c r="G944" s="2"/>
      <c r="H944" s="2"/>
      <c r="J944" s="2"/>
      <c r="L944" s="2"/>
      <c r="M944" s="2"/>
      <c r="N944" s="2"/>
      <c r="O944" s="2"/>
      <c r="P944" s="2"/>
    </row>
    <row r="945">
      <c r="G945" s="2"/>
      <c r="H945" s="2"/>
      <c r="J945" s="2"/>
      <c r="L945" s="2"/>
      <c r="M945" s="2"/>
      <c r="N945" s="2"/>
      <c r="O945" s="2"/>
      <c r="P945" s="2"/>
    </row>
    <row r="946">
      <c r="G946" s="2"/>
      <c r="H946" s="2"/>
      <c r="J946" s="2"/>
      <c r="L946" s="2"/>
      <c r="M946" s="2"/>
      <c r="N946" s="2"/>
      <c r="O946" s="2"/>
      <c r="P946" s="2"/>
    </row>
    <row r="947">
      <c r="G947" s="2"/>
      <c r="H947" s="2"/>
      <c r="J947" s="2"/>
      <c r="L947" s="2"/>
      <c r="M947" s="2"/>
      <c r="N947" s="2"/>
      <c r="O947" s="2"/>
      <c r="P947" s="2"/>
    </row>
    <row r="948">
      <c r="G948" s="2"/>
      <c r="H948" s="2"/>
      <c r="J948" s="2"/>
      <c r="L948" s="2"/>
      <c r="M948" s="2"/>
      <c r="N948" s="2"/>
      <c r="O948" s="2"/>
      <c r="P948" s="2"/>
    </row>
    <row r="949">
      <c r="G949" s="2"/>
      <c r="H949" s="2"/>
      <c r="J949" s="2"/>
      <c r="L949" s="2"/>
      <c r="M949" s="2"/>
      <c r="N949" s="2"/>
      <c r="O949" s="2"/>
      <c r="P949" s="2"/>
    </row>
    <row r="950">
      <c r="G950" s="2"/>
      <c r="H950" s="2"/>
      <c r="J950" s="2"/>
      <c r="L950" s="2"/>
      <c r="M950" s="2"/>
      <c r="N950" s="2"/>
      <c r="O950" s="2"/>
      <c r="P950" s="2"/>
    </row>
    <row r="951">
      <c r="G951" s="2"/>
      <c r="H951" s="2"/>
      <c r="J951" s="2"/>
      <c r="L951" s="2"/>
      <c r="M951" s="2"/>
      <c r="N951" s="2"/>
      <c r="O951" s="2"/>
      <c r="P951" s="2"/>
    </row>
    <row r="952">
      <c r="G952" s="2"/>
      <c r="H952" s="2"/>
      <c r="J952" s="2"/>
      <c r="L952" s="2"/>
      <c r="M952" s="2"/>
      <c r="N952" s="2"/>
      <c r="O952" s="2"/>
      <c r="P952" s="2"/>
    </row>
    <row r="953">
      <c r="G953" s="2"/>
      <c r="H953" s="2"/>
      <c r="J953" s="2"/>
      <c r="L953" s="2"/>
      <c r="M953" s="2"/>
      <c r="N953" s="2"/>
      <c r="O953" s="2"/>
      <c r="P953" s="2"/>
    </row>
    <row r="954">
      <c r="G954" s="2"/>
      <c r="H954" s="2"/>
      <c r="J954" s="2"/>
      <c r="L954" s="2"/>
      <c r="M954" s="2"/>
      <c r="N954" s="2"/>
      <c r="O954" s="2"/>
      <c r="P954" s="2"/>
    </row>
    <row r="955">
      <c r="G955" s="2"/>
      <c r="H955" s="2"/>
      <c r="J955" s="2"/>
      <c r="L955" s="2"/>
      <c r="M955" s="2"/>
      <c r="N955" s="2"/>
      <c r="O955" s="2"/>
      <c r="P955" s="2"/>
    </row>
    <row r="956">
      <c r="G956" s="2"/>
      <c r="H956" s="2"/>
      <c r="J956" s="2"/>
      <c r="L956" s="2"/>
      <c r="M956" s="2"/>
      <c r="N956" s="2"/>
      <c r="O956" s="2"/>
      <c r="P956" s="2"/>
    </row>
    <row r="957">
      <c r="G957" s="2"/>
      <c r="H957" s="2"/>
      <c r="J957" s="2"/>
      <c r="L957" s="2"/>
      <c r="M957" s="2"/>
      <c r="N957" s="2"/>
      <c r="O957" s="2"/>
      <c r="P957" s="2"/>
    </row>
    <row r="958">
      <c r="G958" s="2"/>
      <c r="H958" s="2"/>
      <c r="J958" s="2"/>
      <c r="L958" s="2"/>
      <c r="M958" s="2"/>
      <c r="N958" s="2"/>
      <c r="O958" s="2"/>
      <c r="P958" s="2"/>
    </row>
    <row r="959">
      <c r="G959" s="2"/>
      <c r="H959" s="2"/>
      <c r="J959" s="2"/>
      <c r="L959" s="2"/>
      <c r="M959" s="2"/>
      <c r="N959" s="2"/>
      <c r="O959" s="2"/>
      <c r="P959" s="2"/>
    </row>
    <row r="960">
      <c r="G960" s="2"/>
      <c r="H960" s="2"/>
      <c r="J960" s="2"/>
      <c r="L960" s="2"/>
      <c r="M960" s="2"/>
      <c r="N960" s="2"/>
      <c r="O960" s="2"/>
      <c r="P960" s="2"/>
    </row>
    <row r="961">
      <c r="G961" s="2"/>
      <c r="H961" s="2"/>
      <c r="J961" s="2"/>
      <c r="L961" s="2"/>
      <c r="M961" s="2"/>
      <c r="N961" s="2"/>
      <c r="O961" s="2"/>
      <c r="P961" s="2"/>
    </row>
    <row r="962">
      <c r="G962" s="2"/>
      <c r="H962" s="2"/>
      <c r="J962" s="2"/>
      <c r="L962" s="2"/>
      <c r="M962" s="2"/>
      <c r="N962" s="2"/>
      <c r="O962" s="2"/>
      <c r="P962" s="2"/>
    </row>
    <row r="963">
      <c r="G963" s="2"/>
      <c r="H963" s="2"/>
      <c r="J963" s="2"/>
      <c r="L963" s="2"/>
      <c r="M963" s="2"/>
      <c r="N963" s="2"/>
      <c r="O963" s="2"/>
      <c r="P963" s="2"/>
    </row>
    <row r="964">
      <c r="G964" s="2"/>
      <c r="H964" s="2"/>
      <c r="J964" s="2"/>
      <c r="L964" s="2"/>
      <c r="M964" s="2"/>
      <c r="N964" s="2"/>
      <c r="O964" s="2"/>
      <c r="P964" s="2"/>
    </row>
    <row r="965">
      <c r="G965" s="2"/>
      <c r="H965" s="2"/>
      <c r="J965" s="2"/>
      <c r="L965" s="2"/>
      <c r="M965" s="2"/>
      <c r="N965" s="2"/>
      <c r="O965" s="2"/>
      <c r="P965" s="2"/>
    </row>
    <row r="966">
      <c r="G966" s="2"/>
      <c r="H966" s="2"/>
      <c r="J966" s="2"/>
      <c r="L966" s="2"/>
      <c r="M966" s="2"/>
      <c r="N966" s="2"/>
      <c r="O966" s="2"/>
      <c r="P966" s="2"/>
    </row>
    <row r="967">
      <c r="G967" s="2"/>
      <c r="H967" s="2"/>
      <c r="J967" s="2"/>
      <c r="L967" s="2"/>
      <c r="M967" s="2"/>
      <c r="N967" s="2"/>
      <c r="O967" s="2"/>
      <c r="P967" s="2"/>
    </row>
    <row r="968">
      <c r="G968" s="2"/>
      <c r="H968" s="2"/>
      <c r="J968" s="2"/>
      <c r="L968" s="2"/>
      <c r="M968" s="2"/>
      <c r="N968" s="2"/>
      <c r="O968" s="2"/>
      <c r="P968" s="2"/>
    </row>
    <row r="969">
      <c r="G969" s="2"/>
      <c r="H969" s="2"/>
      <c r="J969" s="2"/>
      <c r="L969" s="2"/>
      <c r="M969" s="2"/>
      <c r="N969" s="2"/>
      <c r="O969" s="2"/>
      <c r="P969" s="2"/>
    </row>
    <row r="970">
      <c r="G970" s="2"/>
      <c r="H970" s="2"/>
      <c r="J970" s="2"/>
      <c r="L970" s="2"/>
      <c r="M970" s="2"/>
      <c r="N970" s="2"/>
      <c r="O970" s="2"/>
      <c r="P970" s="2"/>
    </row>
    <row r="971">
      <c r="G971" s="2"/>
      <c r="H971" s="2"/>
      <c r="J971" s="2"/>
      <c r="L971" s="2"/>
      <c r="M971" s="2"/>
      <c r="N971" s="2"/>
      <c r="O971" s="2"/>
      <c r="P971" s="2"/>
    </row>
    <row r="972">
      <c r="G972" s="2"/>
      <c r="H972" s="2"/>
      <c r="J972" s="2"/>
      <c r="L972" s="2"/>
      <c r="M972" s="2"/>
      <c r="N972" s="2"/>
      <c r="O972" s="2"/>
      <c r="P972" s="2"/>
    </row>
    <row r="973">
      <c r="G973" s="2"/>
      <c r="H973" s="2"/>
      <c r="J973" s="2"/>
      <c r="L973" s="2"/>
      <c r="M973" s="2"/>
      <c r="N973" s="2"/>
      <c r="O973" s="2"/>
      <c r="P973" s="2"/>
    </row>
    <row r="974">
      <c r="G974" s="2"/>
      <c r="H974" s="2"/>
      <c r="J974" s="2"/>
      <c r="L974" s="2"/>
      <c r="M974" s="2"/>
      <c r="N974" s="2"/>
      <c r="O974" s="2"/>
      <c r="P974" s="2"/>
    </row>
    <row r="975">
      <c r="G975" s="2"/>
      <c r="H975" s="2"/>
      <c r="J975" s="2"/>
      <c r="L975" s="2"/>
      <c r="M975" s="2"/>
      <c r="N975" s="2"/>
      <c r="O975" s="2"/>
      <c r="P975" s="2"/>
    </row>
    <row r="976">
      <c r="G976" s="2"/>
      <c r="H976" s="2"/>
      <c r="J976" s="2"/>
      <c r="L976" s="2"/>
      <c r="M976" s="2"/>
      <c r="N976" s="2"/>
      <c r="O976" s="2"/>
      <c r="P976" s="2"/>
    </row>
    <row r="977">
      <c r="G977" s="2"/>
      <c r="H977" s="2"/>
      <c r="J977" s="2"/>
      <c r="L977" s="2"/>
      <c r="M977" s="2"/>
      <c r="N977" s="2"/>
      <c r="O977" s="2"/>
      <c r="P977" s="2"/>
    </row>
    <row r="978">
      <c r="G978" s="2"/>
      <c r="H978" s="2"/>
      <c r="J978" s="2"/>
      <c r="L978" s="2"/>
      <c r="M978" s="2"/>
      <c r="N978" s="2"/>
      <c r="O978" s="2"/>
      <c r="P978" s="2"/>
    </row>
    <row r="979">
      <c r="G979" s="2"/>
      <c r="H979" s="2"/>
      <c r="J979" s="2"/>
      <c r="L979" s="2"/>
      <c r="M979" s="2"/>
      <c r="N979" s="2"/>
      <c r="O979" s="2"/>
      <c r="P979" s="2"/>
    </row>
    <row r="980">
      <c r="G980" s="2"/>
      <c r="H980" s="2"/>
      <c r="J980" s="2"/>
      <c r="L980" s="2"/>
      <c r="M980" s="2"/>
      <c r="N980" s="2"/>
      <c r="O980" s="2"/>
      <c r="P980" s="2"/>
    </row>
    <row r="981">
      <c r="G981" s="2"/>
      <c r="H981" s="2"/>
      <c r="J981" s="2"/>
      <c r="L981" s="2"/>
      <c r="M981" s="2"/>
      <c r="N981" s="2"/>
      <c r="O981" s="2"/>
      <c r="P981" s="2"/>
    </row>
    <row r="982">
      <c r="G982" s="2"/>
      <c r="H982" s="2"/>
      <c r="J982" s="2"/>
      <c r="L982" s="2"/>
      <c r="M982" s="2"/>
      <c r="N982" s="2"/>
      <c r="O982" s="2"/>
      <c r="P982" s="2"/>
    </row>
    <row r="983">
      <c r="G983" s="2"/>
      <c r="H983" s="2"/>
      <c r="J983" s="2"/>
      <c r="L983" s="2"/>
      <c r="M983" s="2"/>
      <c r="N983" s="2"/>
      <c r="O983" s="2"/>
      <c r="P983" s="2"/>
    </row>
    <row r="984">
      <c r="G984" s="2"/>
      <c r="H984" s="2"/>
      <c r="J984" s="2"/>
      <c r="L984" s="2"/>
      <c r="M984" s="2"/>
      <c r="N984" s="2"/>
      <c r="O984" s="2"/>
      <c r="P984" s="2"/>
    </row>
    <row r="985">
      <c r="G985" s="2"/>
      <c r="H985" s="2"/>
      <c r="J985" s="2"/>
      <c r="L985" s="2"/>
      <c r="M985" s="2"/>
      <c r="N985" s="2"/>
      <c r="O985" s="2"/>
      <c r="P985" s="2"/>
    </row>
    <row r="986">
      <c r="G986" s="2"/>
      <c r="H986" s="2"/>
      <c r="J986" s="2"/>
      <c r="L986" s="2"/>
      <c r="M986" s="2"/>
      <c r="N986" s="2"/>
      <c r="O986" s="2"/>
      <c r="P986" s="2"/>
    </row>
    <row r="987">
      <c r="G987" s="2"/>
      <c r="H987" s="2"/>
      <c r="J987" s="2"/>
      <c r="L987" s="2"/>
      <c r="M987" s="2"/>
      <c r="N987" s="2"/>
      <c r="O987" s="2"/>
      <c r="P987" s="2"/>
    </row>
    <row r="988">
      <c r="G988" s="2"/>
      <c r="H988" s="2"/>
      <c r="J988" s="2"/>
      <c r="L988" s="2"/>
      <c r="M988" s="2"/>
      <c r="N988" s="2"/>
      <c r="O988" s="2"/>
      <c r="P988" s="2"/>
    </row>
    <row r="989">
      <c r="G989" s="2"/>
      <c r="H989" s="2"/>
      <c r="J989" s="2"/>
      <c r="L989" s="2"/>
      <c r="M989" s="2"/>
      <c r="N989" s="2"/>
      <c r="O989" s="2"/>
      <c r="P989" s="2"/>
    </row>
    <row r="990">
      <c r="G990" s="2"/>
      <c r="H990" s="2"/>
      <c r="J990" s="2"/>
      <c r="L990" s="2"/>
      <c r="M990" s="2"/>
      <c r="N990" s="2"/>
      <c r="O990" s="2"/>
      <c r="P990" s="2"/>
    </row>
    <row r="991">
      <c r="G991" s="2"/>
      <c r="H991" s="2"/>
      <c r="J991" s="2"/>
      <c r="L991" s="2"/>
      <c r="M991" s="2"/>
      <c r="N991" s="2"/>
      <c r="O991" s="2"/>
      <c r="P991" s="2"/>
    </row>
    <row r="992">
      <c r="G992" s="2"/>
      <c r="H992" s="2"/>
      <c r="J992" s="2"/>
      <c r="L992" s="2"/>
      <c r="M992" s="2"/>
      <c r="N992" s="2"/>
      <c r="O992" s="2"/>
      <c r="P992" s="2"/>
    </row>
    <row r="993">
      <c r="G993" s="2"/>
      <c r="H993" s="2"/>
      <c r="J993" s="2"/>
      <c r="L993" s="2"/>
      <c r="M993" s="2"/>
      <c r="N993" s="2"/>
      <c r="O993" s="2"/>
      <c r="P993" s="2"/>
    </row>
  </sheetData>
  <mergeCells count="1">
    <mergeCell ref="B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24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.5"/>
    <col customWidth="1" min="6" max="6" width="2.88"/>
    <col customWidth="1" min="12" max="12" width="4.75"/>
  </cols>
  <sheetData>
    <row r="1">
      <c r="A1" s="10"/>
      <c r="B1" s="10"/>
      <c r="C1" s="10"/>
      <c r="D1" s="10"/>
      <c r="E1" s="10"/>
      <c r="F1" s="10"/>
      <c r="G1" s="10"/>
      <c r="H1" s="10"/>
      <c r="I1" s="13"/>
      <c r="J1" s="10"/>
      <c r="K1" s="10"/>
      <c r="L1" s="10"/>
      <c r="M1" s="10"/>
      <c r="N1" s="10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23" t="s">
        <v>46</v>
      </c>
      <c r="B2" s="10"/>
      <c r="C2" s="27" t="s">
        <v>48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0"/>
      <c r="B3" s="10"/>
      <c r="C3" s="10"/>
      <c r="D3" s="10"/>
      <c r="E3" s="10"/>
      <c r="F3" s="10"/>
      <c r="G3" s="10"/>
      <c r="H3" s="10"/>
      <c r="I3" s="13"/>
      <c r="J3" s="10"/>
      <c r="K3" s="10"/>
      <c r="L3" s="10"/>
      <c r="M3" s="10"/>
      <c r="N3" s="10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10"/>
      <c r="C4" s="40" t="s">
        <v>81</v>
      </c>
      <c r="F4" s="10"/>
      <c r="G4" s="10"/>
      <c r="H4" s="40" t="s">
        <v>88</v>
      </c>
      <c r="L4" s="10"/>
      <c r="M4" s="10"/>
      <c r="N4" s="40" t="s">
        <v>91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5">
        <v>1.0</v>
      </c>
      <c r="B5" s="10"/>
      <c r="C5" s="25" t="s">
        <v>101</v>
      </c>
      <c r="D5" s="25" t="s">
        <v>103</v>
      </c>
      <c r="E5" s="25">
        <v>10.0</v>
      </c>
      <c r="F5" s="10"/>
      <c r="G5" s="10"/>
      <c r="H5" s="6" t="s">
        <v>107</v>
      </c>
      <c r="I5" s="47" t="s">
        <v>109</v>
      </c>
      <c r="J5" s="50" t="s">
        <v>112</v>
      </c>
      <c r="K5" s="50" t="s">
        <v>117</v>
      </c>
      <c r="L5" s="10"/>
      <c r="M5" s="10"/>
      <c r="N5" s="10"/>
      <c r="O5" s="13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10"/>
      <c r="B6" s="10"/>
      <c r="C6" s="10"/>
      <c r="D6" s="10"/>
      <c r="E6" s="10"/>
      <c r="F6" s="10"/>
      <c r="G6" s="10"/>
      <c r="H6" s="10"/>
      <c r="I6" s="13"/>
      <c r="J6" s="10"/>
      <c r="K6" s="10"/>
      <c r="L6" s="10"/>
      <c r="M6" s="10"/>
      <c r="N6" s="10"/>
      <c r="O6" s="13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5">
        <v>2.0</v>
      </c>
      <c r="B7" s="10"/>
      <c r="C7" s="25" t="s">
        <v>136</v>
      </c>
      <c r="D7" s="25" t="s">
        <v>138</v>
      </c>
      <c r="E7" s="64">
        <v>0.82</v>
      </c>
      <c r="F7" s="10"/>
      <c r="G7" s="10"/>
      <c r="H7" s="6" t="s">
        <v>121</v>
      </c>
      <c r="I7" s="47" t="s">
        <v>144</v>
      </c>
      <c r="J7" s="50" t="s">
        <v>125</v>
      </c>
      <c r="K7" s="50" t="s">
        <v>127</v>
      </c>
      <c r="L7" s="10"/>
      <c r="M7" s="10"/>
      <c r="N7" s="10"/>
      <c r="O7" s="1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0"/>
      <c r="B8" s="10"/>
      <c r="C8" s="10"/>
      <c r="D8" s="10"/>
      <c r="E8" s="10"/>
      <c r="F8" s="10"/>
      <c r="G8" s="10"/>
      <c r="H8" s="10"/>
      <c r="I8" s="13"/>
      <c r="J8" s="10"/>
      <c r="K8" s="10"/>
      <c r="L8" s="10"/>
      <c r="M8" s="10"/>
      <c r="N8" s="10"/>
      <c r="O8" s="1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5">
        <v>3.0</v>
      </c>
      <c r="B9" s="10"/>
      <c r="C9" s="25" t="s">
        <v>151</v>
      </c>
      <c r="D9" s="25" t="s">
        <v>153</v>
      </c>
      <c r="E9" s="64">
        <v>0.7</v>
      </c>
      <c r="F9" s="10"/>
      <c r="G9" s="10"/>
      <c r="H9" s="6" t="s">
        <v>132</v>
      </c>
      <c r="I9" s="73" t="s">
        <v>168</v>
      </c>
      <c r="J9" s="50" t="s">
        <v>134</v>
      </c>
      <c r="K9" s="6" t="s">
        <v>51</v>
      </c>
      <c r="L9" s="10"/>
      <c r="M9" s="10"/>
      <c r="N9" s="10"/>
      <c r="O9" s="13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0"/>
      <c r="B10" s="10"/>
      <c r="C10" s="10"/>
      <c r="D10" s="10"/>
      <c r="E10" s="10"/>
      <c r="F10" s="10"/>
      <c r="G10" s="10"/>
      <c r="H10" s="10"/>
      <c r="I10" s="13"/>
      <c r="J10" s="10"/>
      <c r="K10" s="10"/>
      <c r="L10" s="10"/>
      <c r="M10" s="10"/>
      <c r="N10" s="10"/>
      <c r="O10" s="13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5">
        <v>4.0</v>
      </c>
      <c r="B11" s="10"/>
      <c r="C11" s="25" t="s">
        <v>190</v>
      </c>
      <c r="D11" s="25" t="s">
        <v>192</v>
      </c>
      <c r="E11" s="25" t="s">
        <v>116</v>
      </c>
      <c r="F11" s="10"/>
      <c r="G11" s="10"/>
      <c r="H11" s="6" t="s">
        <v>139</v>
      </c>
      <c r="I11" s="73" t="s">
        <v>198</v>
      </c>
      <c r="J11" s="6" t="s">
        <v>142</v>
      </c>
      <c r="K11" s="6" t="s">
        <v>122</v>
      </c>
      <c r="L11" s="10"/>
      <c r="M11" s="10"/>
      <c r="N11" s="10"/>
      <c r="O11" s="1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0"/>
      <c r="B12" s="10"/>
      <c r="C12" s="97"/>
      <c r="D12" s="97"/>
      <c r="E12" s="10"/>
      <c r="F12" s="10"/>
      <c r="G12" s="10"/>
      <c r="H12" s="100"/>
      <c r="I12" s="101"/>
      <c r="J12" s="100"/>
      <c r="K12" s="10"/>
      <c r="L12" s="10"/>
      <c r="M12" s="10"/>
      <c r="N12" s="10"/>
      <c r="O12" s="1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5">
        <v>5.0</v>
      </c>
      <c r="B13" s="10"/>
      <c r="C13" s="25" t="s">
        <v>211</v>
      </c>
      <c r="D13" s="25" t="s">
        <v>213</v>
      </c>
      <c r="E13" s="106">
        <v>0.65</v>
      </c>
      <c r="F13" s="10"/>
      <c r="G13" s="10"/>
      <c r="H13" s="6" t="s">
        <v>147</v>
      </c>
      <c r="I13" s="73" t="s">
        <v>215</v>
      </c>
      <c r="J13" s="6" t="s">
        <v>149</v>
      </c>
      <c r="K13" s="6" t="s">
        <v>45</v>
      </c>
      <c r="L13" s="10"/>
      <c r="M13" s="10"/>
      <c r="N13" s="10"/>
      <c r="O13" s="1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0"/>
      <c r="B14" s="10"/>
      <c r="C14" s="97"/>
      <c r="D14" s="97"/>
      <c r="E14" s="112"/>
      <c r="F14" s="10"/>
      <c r="G14" s="10"/>
      <c r="H14" s="100"/>
      <c r="I14" s="101"/>
      <c r="J14" s="100"/>
      <c r="K14" s="10"/>
      <c r="L14" s="10"/>
      <c r="M14" s="10"/>
      <c r="N14" s="10"/>
      <c r="O14" s="1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5">
        <v>6.0</v>
      </c>
      <c r="B15" s="10"/>
      <c r="C15" s="25" t="s">
        <v>231</v>
      </c>
      <c r="D15" s="25" t="s">
        <v>233</v>
      </c>
      <c r="E15" s="106">
        <v>0.82</v>
      </c>
      <c r="F15" s="10"/>
      <c r="G15" s="10"/>
      <c r="H15" s="6" t="s">
        <v>150</v>
      </c>
      <c r="I15" s="73" t="s">
        <v>237</v>
      </c>
      <c r="J15" s="50" t="s">
        <v>154</v>
      </c>
      <c r="K15" s="6" t="s">
        <v>45</v>
      </c>
      <c r="L15" s="10"/>
      <c r="M15" s="10"/>
      <c r="N15" s="10"/>
      <c r="O15" s="1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10"/>
      <c r="B16" s="10"/>
      <c r="C16" s="10"/>
      <c r="D16" s="10"/>
      <c r="E16" s="10"/>
      <c r="F16" s="10"/>
      <c r="G16" s="10"/>
      <c r="H16" s="10"/>
      <c r="I16" s="13"/>
      <c r="J16" s="10"/>
      <c r="K16" s="10"/>
      <c r="L16" s="10"/>
      <c r="M16" s="10"/>
      <c r="N16" s="10"/>
      <c r="O16" s="1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5">
        <v>7.0</v>
      </c>
      <c r="B17" s="10"/>
      <c r="C17" s="125" t="s">
        <v>222</v>
      </c>
      <c r="D17" s="125" t="s">
        <v>223</v>
      </c>
      <c r="E17" s="126">
        <v>0.8</v>
      </c>
      <c r="F17" s="10"/>
      <c r="G17" s="10"/>
      <c r="H17" s="125" t="s">
        <v>156</v>
      </c>
      <c r="I17" s="128" t="s">
        <v>261</v>
      </c>
      <c r="J17" s="125" t="s">
        <v>158</v>
      </c>
      <c r="K17" s="125" t="s">
        <v>160</v>
      </c>
      <c r="L17" s="129"/>
      <c r="M17" s="129"/>
      <c r="N17" s="30" t="s">
        <v>266</v>
      </c>
      <c r="O17" s="131" t="s">
        <v>268</v>
      </c>
      <c r="P17" s="30" t="s">
        <v>239</v>
      </c>
      <c r="Q17" s="133" t="s">
        <v>272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10"/>
      <c r="B18" s="10"/>
      <c r="C18" s="10"/>
      <c r="D18" s="10"/>
      <c r="E18" s="10"/>
      <c r="F18" s="10"/>
      <c r="G18" s="10"/>
      <c r="H18" s="10"/>
      <c r="I18" s="13"/>
      <c r="J18" s="10"/>
      <c r="K18" s="10"/>
      <c r="L18" s="10"/>
      <c r="M18" s="10"/>
      <c r="N18" s="10"/>
      <c r="O18" s="1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5">
        <v>8.0</v>
      </c>
      <c r="B19" s="10"/>
      <c r="C19" s="136" t="s">
        <v>165</v>
      </c>
      <c r="D19" s="6" t="s">
        <v>167</v>
      </c>
      <c r="E19" s="138">
        <v>0.95</v>
      </c>
      <c r="F19" s="10"/>
      <c r="G19" s="10"/>
      <c r="H19" s="10"/>
      <c r="I19" s="13"/>
      <c r="J19" s="10"/>
      <c r="K19" s="10"/>
      <c r="L19" s="10"/>
      <c r="M19" s="10"/>
      <c r="N19" s="30" t="s">
        <v>193</v>
      </c>
      <c r="O19" s="131" t="s">
        <v>195</v>
      </c>
      <c r="P19" s="33" t="s">
        <v>61</v>
      </c>
      <c r="Q19" s="91" t="s">
        <v>197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10"/>
      <c r="B20" s="10"/>
      <c r="C20" s="140"/>
      <c r="D20" s="10"/>
      <c r="E20" s="10"/>
      <c r="F20" s="10"/>
      <c r="G20" s="10"/>
      <c r="H20" s="10"/>
      <c r="I20" s="13"/>
      <c r="J20" s="10"/>
      <c r="K20" s="10"/>
      <c r="L20" s="10"/>
      <c r="M20" s="10"/>
      <c r="N20" s="10"/>
      <c r="O20" s="1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5">
        <v>9.0</v>
      </c>
      <c r="B21" s="10"/>
      <c r="C21" s="48" t="s">
        <v>111</v>
      </c>
      <c r="D21" s="48" t="s">
        <v>114</v>
      </c>
      <c r="E21" s="52" t="s">
        <v>116</v>
      </c>
      <c r="F21" s="10"/>
      <c r="G21" s="10"/>
      <c r="H21" s="55" t="s">
        <v>115</v>
      </c>
      <c r="I21" s="146" t="s">
        <v>323</v>
      </c>
      <c r="J21" s="55" t="s">
        <v>120</v>
      </c>
      <c r="K21" s="58" t="s">
        <v>122</v>
      </c>
      <c r="L21" s="10"/>
      <c r="M21" s="10"/>
      <c r="N21" s="30" t="s">
        <v>141</v>
      </c>
      <c r="O21" s="148" t="s">
        <v>330</v>
      </c>
      <c r="P21" s="33" t="s">
        <v>61</v>
      </c>
      <c r="Q21" s="34" t="s">
        <v>145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10"/>
      <c r="B22" s="10"/>
      <c r="C22" s="140"/>
      <c r="D22" s="10"/>
      <c r="E22" s="10"/>
      <c r="F22" s="10"/>
      <c r="G22" s="10"/>
      <c r="H22" s="10"/>
      <c r="I22" s="13"/>
      <c r="J22" s="10"/>
      <c r="K22" s="10"/>
      <c r="L22" s="10"/>
      <c r="M22" s="10"/>
      <c r="N22" s="10"/>
      <c r="O22" s="1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5">
        <v>10.0</v>
      </c>
      <c r="B23" s="10"/>
      <c r="C23" s="159" t="s">
        <v>129</v>
      </c>
      <c r="D23" s="79" t="s">
        <v>130</v>
      </c>
      <c r="E23" s="161">
        <v>46026.0</v>
      </c>
      <c r="F23" s="129"/>
      <c r="G23" s="129"/>
      <c r="H23" s="79" t="s">
        <v>131</v>
      </c>
      <c r="I23" s="164" t="s">
        <v>353</v>
      </c>
      <c r="J23" s="79" t="s">
        <v>177</v>
      </c>
      <c r="K23" s="83" t="s">
        <v>122</v>
      </c>
      <c r="L23" s="129"/>
      <c r="M23" s="129"/>
      <c r="N23" s="10"/>
      <c r="O23" s="1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10"/>
      <c r="B24" s="10"/>
      <c r="C24" s="140"/>
      <c r="D24" s="10"/>
      <c r="E24" s="10"/>
      <c r="F24" s="10"/>
      <c r="G24" s="10"/>
      <c r="H24" s="10"/>
      <c r="I24" s="13"/>
      <c r="J24" s="10"/>
      <c r="K24" s="10"/>
      <c r="L24" s="10"/>
      <c r="M24" s="10"/>
      <c r="N24" s="10"/>
      <c r="O24" s="1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3" t="s">
        <v>46</v>
      </c>
      <c r="B25" s="10"/>
      <c r="C25" s="27" t="s">
        <v>375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10"/>
      <c r="B26" s="10"/>
      <c r="C26" s="10"/>
      <c r="D26" s="10"/>
      <c r="E26" s="10"/>
      <c r="F26" s="10"/>
      <c r="G26" s="10"/>
      <c r="H26" s="10"/>
      <c r="I26" s="13"/>
      <c r="J26" s="10"/>
      <c r="K26" s="10"/>
      <c r="L26" s="10"/>
      <c r="M26" s="10"/>
      <c r="N26" s="10"/>
      <c r="O26" s="13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10"/>
      <c r="B27" s="10"/>
      <c r="C27" s="40" t="s">
        <v>81</v>
      </c>
      <c r="F27" s="10"/>
      <c r="G27" s="10"/>
      <c r="H27" s="40" t="s">
        <v>88</v>
      </c>
      <c r="L27" s="10"/>
      <c r="M27" s="10"/>
      <c r="N27" s="40" t="s">
        <v>91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5">
        <v>11.0</v>
      </c>
      <c r="B28" s="10"/>
      <c r="C28" s="35" t="s">
        <v>65</v>
      </c>
      <c r="D28" s="35" t="s">
        <v>69</v>
      </c>
      <c r="E28" s="37">
        <v>0.59</v>
      </c>
      <c r="F28" s="10"/>
      <c r="G28" s="10"/>
      <c r="H28" s="26" t="s">
        <v>8</v>
      </c>
      <c r="I28" s="175" t="s">
        <v>392</v>
      </c>
      <c r="J28" s="26" t="s">
        <v>16</v>
      </c>
      <c r="K28" s="26" t="s">
        <v>18</v>
      </c>
      <c r="L28" s="10"/>
      <c r="M28" s="10"/>
      <c r="N28" s="10"/>
      <c r="O28" s="13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10"/>
      <c r="B29" s="10"/>
      <c r="C29" s="10"/>
      <c r="D29" s="10"/>
      <c r="E29" s="10"/>
      <c r="F29" s="10"/>
      <c r="G29" s="10"/>
      <c r="H29" s="10"/>
      <c r="I29" s="13"/>
      <c r="J29" s="10"/>
      <c r="K29" s="10"/>
      <c r="L29" s="10"/>
      <c r="M29" s="10"/>
      <c r="N29" s="10"/>
      <c r="O29" s="13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5">
        <v>12.0</v>
      </c>
      <c r="B30" s="10"/>
      <c r="C30" s="42" t="s">
        <v>93</v>
      </c>
      <c r="D30" s="42" t="s">
        <v>95</v>
      </c>
      <c r="E30" s="42">
        <v>20.0</v>
      </c>
      <c r="F30" s="10"/>
      <c r="G30" s="10"/>
      <c r="H30" s="62" t="s">
        <v>27</v>
      </c>
      <c r="I30" s="177" t="s">
        <v>398</v>
      </c>
      <c r="J30" s="62" t="s">
        <v>30</v>
      </c>
      <c r="K30" s="62" t="s">
        <v>31</v>
      </c>
      <c r="L30" s="10"/>
      <c r="M30" s="10"/>
      <c r="N30" s="10"/>
      <c r="O30" s="13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10"/>
      <c r="B31" s="10"/>
      <c r="C31" s="10"/>
      <c r="D31" s="10"/>
      <c r="E31" s="10"/>
      <c r="F31" s="10"/>
      <c r="G31" s="10"/>
      <c r="H31" s="10"/>
      <c r="I31" s="13"/>
      <c r="J31" s="10"/>
      <c r="K31" s="10"/>
      <c r="L31" s="10"/>
      <c r="M31" s="10"/>
      <c r="N31" s="10"/>
      <c r="O31" s="13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5">
        <v>13.0</v>
      </c>
      <c r="B32" s="10"/>
      <c r="C32" s="75" t="s">
        <v>172</v>
      </c>
      <c r="D32" s="75" t="s">
        <v>173</v>
      </c>
      <c r="E32" s="78">
        <v>0.85</v>
      </c>
      <c r="F32" s="10"/>
      <c r="G32" s="10"/>
      <c r="H32" s="99" t="s">
        <v>39</v>
      </c>
      <c r="I32" s="179" t="s">
        <v>403</v>
      </c>
      <c r="J32" s="99" t="s">
        <v>43</v>
      </c>
      <c r="K32" s="99" t="s">
        <v>45</v>
      </c>
      <c r="L32" s="10"/>
      <c r="M32" s="10"/>
      <c r="N32" s="10"/>
      <c r="O32" s="13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10"/>
      <c r="B33" s="10"/>
      <c r="C33" s="10"/>
      <c r="D33" s="10"/>
      <c r="E33" s="10"/>
      <c r="F33" s="10"/>
      <c r="G33" s="10"/>
      <c r="H33" s="10"/>
      <c r="I33" s="13"/>
      <c r="J33" s="10"/>
      <c r="K33" s="10"/>
      <c r="L33" s="10"/>
      <c r="M33" s="10"/>
      <c r="N33" s="10"/>
      <c r="O33" s="13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5">
        <v>14.0</v>
      </c>
      <c r="B34" s="10"/>
      <c r="C34" s="118" t="s">
        <v>243</v>
      </c>
      <c r="D34" s="118" t="s">
        <v>244</v>
      </c>
      <c r="E34" s="120">
        <v>0.7</v>
      </c>
      <c r="F34" s="10"/>
      <c r="G34" s="10"/>
      <c r="H34" s="150" t="s">
        <v>47</v>
      </c>
      <c r="I34" s="182" t="s">
        <v>419</v>
      </c>
      <c r="J34" s="150" t="s">
        <v>50</v>
      </c>
      <c r="K34" s="150" t="s">
        <v>51</v>
      </c>
      <c r="L34" s="10"/>
      <c r="M34" s="10"/>
      <c r="N34" s="10"/>
      <c r="O34" s="13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0"/>
      <c r="B35" s="10"/>
      <c r="C35" s="10"/>
      <c r="D35" s="10"/>
      <c r="E35" s="10"/>
      <c r="F35" s="10"/>
      <c r="G35" s="10"/>
      <c r="H35" s="10"/>
      <c r="I35" s="13"/>
      <c r="J35" s="10"/>
      <c r="K35" s="10"/>
      <c r="L35" s="10"/>
      <c r="M35" s="10"/>
      <c r="N35" s="10"/>
      <c r="O35" s="13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5">
        <v>15.0</v>
      </c>
      <c r="B36" s="10"/>
      <c r="C36" s="127" t="s">
        <v>260</v>
      </c>
      <c r="D36" s="127" t="s">
        <v>263</v>
      </c>
      <c r="E36" s="127" t="s">
        <v>264</v>
      </c>
      <c r="F36" s="10"/>
      <c r="G36" s="10"/>
      <c r="H36" s="160" t="s">
        <v>54</v>
      </c>
      <c r="I36" s="185" t="s">
        <v>423</v>
      </c>
      <c r="J36" s="160" t="s">
        <v>57</v>
      </c>
      <c r="K36" s="160" t="s">
        <v>59</v>
      </c>
      <c r="L36" s="10"/>
      <c r="M36" s="10"/>
      <c r="N36" s="10"/>
      <c r="O36" s="13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0"/>
      <c r="B37" s="10"/>
      <c r="C37" s="10"/>
      <c r="D37" s="10"/>
      <c r="E37" s="10"/>
      <c r="F37" s="10"/>
      <c r="G37" s="10"/>
      <c r="H37" s="10"/>
      <c r="I37" s="13"/>
      <c r="J37" s="10"/>
      <c r="K37" s="10"/>
      <c r="L37" s="10"/>
      <c r="M37" s="10"/>
      <c r="N37" s="10"/>
      <c r="O37" s="13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5">
        <v>16.0</v>
      </c>
      <c r="B38" s="10"/>
      <c r="C38" s="135" t="s">
        <v>280</v>
      </c>
      <c r="D38" s="135" t="s">
        <v>282</v>
      </c>
      <c r="E38" s="135" t="s">
        <v>283</v>
      </c>
      <c r="F38" s="10"/>
      <c r="G38" s="10"/>
      <c r="H38" s="170" t="s">
        <v>63</v>
      </c>
      <c r="I38" s="188" t="s">
        <v>437</v>
      </c>
      <c r="J38" s="170" t="s">
        <v>67</v>
      </c>
      <c r="K38" s="170" t="s">
        <v>70</v>
      </c>
      <c r="L38" s="10"/>
      <c r="M38" s="10"/>
      <c r="N38" s="10"/>
      <c r="O38" s="13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0"/>
      <c r="B39" s="10"/>
      <c r="C39" s="10"/>
      <c r="D39" s="10"/>
      <c r="E39" s="10"/>
      <c r="F39" s="10"/>
      <c r="G39" s="10"/>
      <c r="H39" s="10"/>
      <c r="I39" s="13"/>
      <c r="J39" s="10"/>
      <c r="K39" s="10"/>
      <c r="L39" s="10"/>
      <c r="M39" s="10"/>
      <c r="N39" s="10"/>
      <c r="O39" s="13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5">
        <v>17.0</v>
      </c>
      <c r="B40" s="10"/>
      <c r="C40" s="181" t="s">
        <v>408</v>
      </c>
      <c r="D40" s="181" t="s">
        <v>411</v>
      </c>
      <c r="E40" s="181" t="s">
        <v>413</v>
      </c>
      <c r="F40" s="10"/>
      <c r="G40" s="10"/>
      <c r="H40" s="189" t="s">
        <v>73</v>
      </c>
      <c r="I40" s="190" t="s">
        <v>444</v>
      </c>
      <c r="J40" s="189" t="s">
        <v>77</v>
      </c>
      <c r="K40" s="189" t="s">
        <v>78</v>
      </c>
      <c r="L40" s="10"/>
      <c r="M40" s="10"/>
      <c r="N40" s="10"/>
      <c r="O40" s="13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0"/>
      <c r="B41" s="10"/>
      <c r="C41" s="10"/>
      <c r="D41" s="10"/>
      <c r="E41" s="10"/>
      <c r="F41" s="10"/>
      <c r="G41" s="10"/>
      <c r="H41" s="10"/>
      <c r="I41" s="13"/>
      <c r="J41" s="10"/>
      <c r="K41" s="10"/>
      <c r="L41" s="10"/>
      <c r="M41" s="10"/>
      <c r="N41" s="10"/>
      <c r="O41" s="13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5">
        <v>18.0</v>
      </c>
      <c r="B42" s="10"/>
      <c r="C42" s="31" t="s">
        <v>427</v>
      </c>
      <c r="D42" s="31" t="s">
        <v>429</v>
      </c>
      <c r="E42" s="31" t="s">
        <v>432</v>
      </c>
      <c r="F42" s="10"/>
      <c r="G42" s="10"/>
      <c r="H42" s="194" t="s">
        <v>85</v>
      </c>
      <c r="I42" s="197" t="s">
        <v>449</v>
      </c>
      <c r="J42" s="194" t="s">
        <v>90</v>
      </c>
      <c r="K42" s="194" t="s">
        <v>92</v>
      </c>
      <c r="L42" s="10"/>
      <c r="M42" s="10"/>
      <c r="N42" s="10"/>
      <c r="O42" s="13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0"/>
      <c r="B43" s="10"/>
      <c r="C43" s="10"/>
      <c r="D43" s="10"/>
      <c r="E43" s="10"/>
      <c r="F43" s="10"/>
      <c r="G43" s="10"/>
      <c r="H43" s="10"/>
      <c r="I43" s="13"/>
      <c r="J43" s="10"/>
      <c r="K43" s="10"/>
      <c r="L43" s="10"/>
      <c r="M43" s="10"/>
      <c r="N43" s="10"/>
      <c r="O43" s="13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5">
        <v>19.0</v>
      </c>
      <c r="B44" s="10"/>
      <c r="C44" s="10"/>
      <c r="D44" s="10"/>
      <c r="E44" s="10"/>
      <c r="F44" s="10"/>
      <c r="G44" s="10"/>
      <c r="H44" s="199" t="s">
        <v>75</v>
      </c>
      <c r="I44" s="201" t="s">
        <v>463</v>
      </c>
      <c r="J44" s="199" t="s">
        <v>82</v>
      </c>
      <c r="K44" s="199" t="s">
        <v>83</v>
      </c>
      <c r="L44" s="10"/>
      <c r="M44" s="10"/>
      <c r="N44" s="202" t="s">
        <v>336</v>
      </c>
      <c r="O44" s="203" t="s">
        <v>337</v>
      </c>
      <c r="P44" s="202" t="s">
        <v>239</v>
      </c>
      <c r="Q44" s="204" t="s">
        <v>341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10"/>
      <c r="C45" s="10"/>
      <c r="D45" s="10"/>
      <c r="E45" s="10"/>
      <c r="F45" s="10"/>
      <c r="G45" s="10"/>
      <c r="H45" s="10"/>
      <c r="I45" s="13"/>
      <c r="J45" s="10"/>
      <c r="K45" s="10"/>
      <c r="L45" s="10"/>
      <c r="M45" s="10"/>
      <c r="N45" s="10"/>
      <c r="O45" s="13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5">
        <v>20.0</v>
      </c>
      <c r="B46" s="10"/>
      <c r="C46" s="10"/>
      <c r="D46" s="10"/>
      <c r="E46" s="10"/>
      <c r="F46" s="10"/>
      <c r="G46" s="10"/>
      <c r="H46" s="205" t="s">
        <v>98</v>
      </c>
      <c r="I46" s="206" t="s">
        <v>468</v>
      </c>
      <c r="J46" s="205" t="s">
        <v>102</v>
      </c>
      <c r="K46" s="205" t="s">
        <v>104</v>
      </c>
      <c r="L46" s="10"/>
      <c r="M46" s="10"/>
      <c r="N46" s="207" t="s">
        <v>356</v>
      </c>
      <c r="O46" s="208" t="s">
        <v>360</v>
      </c>
      <c r="P46" s="207" t="s">
        <v>239</v>
      </c>
      <c r="Q46" s="209" t="s">
        <v>365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0"/>
      <c r="C47" s="10"/>
      <c r="D47" s="10"/>
      <c r="E47" s="10"/>
      <c r="F47" s="10"/>
      <c r="G47" s="10"/>
      <c r="H47" s="10"/>
      <c r="I47" s="13"/>
      <c r="J47" s="10"/>
      <c r="K47" s="10"/>
      <c r="L47" s="10"/>
      <c r="M47" s="10"/>
      <c r="N47" s="10"/>
      <c r="O47" s="13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0"/>
      <c r="C48" s="27" t="s">
        <v>473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0"/>
      <c r="C49" s="10"/>
      <c r="D49" s="10"/>
      <c r="E49" s="10"/>
      <c r="F49" s="10"/>
      <c r="G49" s="10"/>
      <c r="H49" s="10"/>
      <c r="I49" s="13"/>
      <c r="J49" s="10"/>
      <c r="K49" s="10"/>
      <c r="L49" s="10"/>
      <c r="M49" s="10"/>
      <c r="N49" s="10"/>
      <c r="O49" s="13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23" t="s">
        <v>46</v>
      </c>
      <c r="C50" s="40" t="s">
        <v>81</v>
      </c>
      <c r="F50" s="212"/>
      <c r="G50" s="23" t="s">
        <v>46</v>
      </c>
      <c r="H50" s="40" t="s">
        <v>88</v>
      </c>
      <c r="L50" s="213"/>
      <c r="M50" s="23" t="s">
        <v>46</v>
      </c>
      <c r="N50" s="40" t="s">
        <v>91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5">
        <v>21.0</v>
      </c>
      <c r="C51" s="25" t="s">
        <v>186</v>
      </c>
      <c r="D51" s="25" t="s">
        <v>188</v>
      </c>
      <c r="E51" s="25">
        <v>0.0</v>
      </c>
      <c r="F51" s="10"/>
      <c r="G51" s="5">
        <v>30.0</v>
      </c>
      <c r="H51" s="6" t="s">
        <v>226</v>
      </c>
      <c r="I51" s="73" t="s">
        <v>488</v>
      </c>
      <c r="J51" s="6" t="s">
        <v>232</v>
      </c>
      <c r="K51" s="6" t="s">
        <v>234</v>
      </c>
      <c r="L51" s="10"/>
      <c r="M51" s="5">
        <v>44.0</v>
      </c>
      <c r="N51" s="30" t="s">
        <v>55</v>
      </c>
      <c r="O51" s="131" t="s">
        <v>58</v>
      </c>
      <c r="P51" s="33" t="s">
        <v>61</v>
      </c>
      <c r="Q51" s="34" t="s">
        <v>62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10"/>
      <c r="C52" s="10"/>
      <c r="D52" s="10"/>
      <c r="E52" s="10"/>
      <c r="F52" s="10"/>
      <c r="G52" s="10"/>
      <c r="H52" s="10"/>
      <c r="I52" s="13"/>
      <c r="J52" s="10"/>
      <c r="K52" s="10"/>
      <c r="L52" s="10"/>
      <c r="M52" s="10"/>
      <c r="N52" s="10"/>
      <c r="O52" s="13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5">
        <v>22.0</v>
      </c>
      <c r="C53" s="25" t="s">
        <v>190</v>
      </c>
      <c r="D53" s="25" t="s">
        <v>192</v>
      </c>
      <c r="E53" s="25" t="s">
        <v>116</v>
      </c>
      <c r="F53" s="10"/>
      <c r="G53" s="5">
        <v>31.0</v>
      </c>
      <c r="H53" s="6" t="s">
        <v>248</v>
      </c>
      <c r="I53" s="73" t="s">
        <v>491</v>
      </c>
      <c r="J53" s="183" t="s">
        <v>281</v>
      </c>
      <c r="K53" s="6" t="s">
        <v>254</v>
      </c>
      <c r="L53" s="10"/>
      <c r="M53" s="5">
        <v>45.0</v>
      </c>
      <c r="N53" s="30" t="s">
        <v>84</v>
      </c>
      <c r="O53" s="131" t="s">
        <v>86</v>
      </c>
      <c r="P53" s="33" t="s">
        <v>61</v>
      </c>
      <c r="Q53" s="34" t="s">
        <v>89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10"/>
      <c r="C54" s="10"/>
      <c r="D54" s="10"/>
      <c r="E54" s="10"/>
      <c r="F54" s="10"/>
      <c r="G54" s="10"/>
      <c r="H54" s="10"/>
      <c r="I54" s="13"/>
      <c r="J54" s="10"/>
      <c r="K54" s="10"/>
      <c r="L54" s="10"/>
      <c r="M54" s="10"/>
      <c r="N54" s="10"/>
      <c r="O54" s="13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5">
        <v>23.0</v>
      </c>
      <c r="C55" s="25" t="s">
        <v>202</v>
      </c>
      <c r="D55" s="25" t="s">
        <v>204</v>
      </c>
      <c r="E55" s="64">
        <v>0.1</v>
      </c>
      <c r="F55" s="10"/>
      <c r="G55" s="5">
        <v>32.0</v>
      </c>
      <c r="H55" s="6" t="s">
        <v>269</v>
      </c>
      <c r="I55" s="73" t="s">
        <v>494</v>
      </c>
      <c r="J55" s="6" t="s">
        <v>271</v>
      </c>
      <c r="K55" s="6" t="s">
        <v>160</v>
      </c>
      <c r="L55" s="10"/>
      <c r="M55" s="5">
        <v>46.0</v>
      </c>
      <c r="N55" s="30" t="s">
        <v>105</v>
      </c>
      <c r="O55" s="131" t="s">
        <v>108</v>
      </c>
      <c r="P55" s="33" t="s">
        <v>61</v>
      </c>
      <c r="Q55" s="34" t="s">
        <v>110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10"/>
      <c r="C56" s="10"/>
      <c r="D56" s="10"/>
      <c r="E56" s="10"/>
      <c r="F56" s="10"/>
      <c r="G56" s="10"/>
      <c r="H56" s="10"/>
      <c r="I56" s="13"/>
      <c r="J56" s="10"/>
      <c r="K56" s="10"/>
      <c r="L56" s="10"/>
      <c r="M56" s="10"/>
      <c r="N56" s="10"/>
      <c r="O56" s="13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5">
        <v>24.0</v>
      </c>
      <c r="C57" s="25" t="s">
        <v>207</v>
      </c>
      <c r="D57" s="25" t="s">
        <v>209</v>
      </c>
      <c r="E57" s="64">
        <v>0.85</v>
      </c>
      <c r="F57" s="10"/>
      <c r="G57" s="5">
        <v>33.0</v>
      </c>
      <c r="H57" s="6" t="s">
        <v>285</v>
      </c>
      <c r="I57" s="73" t="s">
        <v>497</v>
      </c>
      <c r="J57" s="6" t="s">
        <v>289</v>
      </c>
      <c r="K57" s="6" t="s">
        <v>290</v>
      </c>
      <c r="L57" s="10"/>
      <c r="M57" s="5">
        <v>47.0</v>
      </c>
      <c r="N57" s="30" t="s">
        <v>124</v>
      </c>
      <c r="O57" s="131" t="s">
        <v>126</v>
      </c>
      <c r="P57" s="33" t="s">
        <v>61</v>
      </c>
      <c r="Q57" s="34" t="s">
        <v>128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10"/>
      <c r="C58" s="10"/>
      <c r="D58" s="10"/>
      <c r="E58" s="10"/>
      <c r="F58" s="10"/>
      <c r="G58" s="10"/>
      <c r="H58" s="10"/>
      <c r="I58" s="13"/>
      <c r="J58" s="10"/>
      <c r="K58" s="10"/>
      <c r="L58" s="10"/>
      <c r="M58" s="10"/>
      <c r="N58" s="10"/>
      <c r="O58" s="13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5">
        <v>25.0</v>
      </c>
      <c r="C59" s="25" t="s">
        <v>216</v>
      </c>
      <c r="D59" s="25" t="s">
        <v>219</v>
      </c>
      <c r="E59" s="223">
        <v>0.2</v>
      </c>
      <c r="F59" s="10"/>
      <c r="G59" s="5">
        <v>34.0</v>
      </c>
      <c r="H59" s="6" t="s">
        <v>299</v>
      </c>
      <c r="I59" s="73" t="s">
        <v>501</v>
      </c>
      <c r="J59" s="6" t="s">
        <v>302</v>
      </c>
      <c r="K59" s="6" t="s">
        <v>83</v>
      </c>
      <c r="L59" s="10"/>
      <c r="M59" s="5">
        <v>48.0</v>
      </c>
      <c r="N59" s="30" t="s">
        <v>164</v>
      </c>
      <c r="O59" s="131" t="s">
        <v>166</v>
      </c>
      <c r="P59" s="33" t="s">
        <v>61</v>
      </c>
      <c r="Q59" s="34" t="s">
        <v>169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10"/>
      <c r="C60" s="10"/>
      <c r="D60" s="10"/>
      <c r="E60" s="10"/>
      <c r="F60" s="10"/>
      <c r="G60" s="10"/>
      <c r="H60" s="10"/>
      <c r="I60" s="13"/>
      <c r="J60" s="10"/>
      <c r="K60" s="10"/>
      <c r="L60" s="10"/>
      <c r="M60" s="10"/>
      <c r="N60" s="10"/>
      <c r="O60" s="13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5">
        <v>26.0</v>
      </c>
      <c r="C61" s="25" t="s">
        <v>227</v>
      </c>
      <c r="D61" s="25" t="s">
        <v>229</v>
      </c>
      <c r="E61" s="223">
        <v>0.85</v>
      </c>
      <c r="F61" s="10"/>
      <c r="G61" s="5">
        <v>35.0</v>
      </c>
      <c r="H61" s="6" t="s">
        <v>296</v>
      </c>
      <c r="I61" s="73" t="s">
        <v>506</v>
      </c>
      <c r="J61" s="6" t="s">
        <v>289</v>
      </c>
      <c r="K61" s="6" t="s">
        <v>311</v>
      </c>
      <c r="L61" s="10"/>
      <c r="M61" s="5">
        <v>49.0</v>
      </c>
      <c r="N61" s="30" t="s">
        <v>180</v>
      </c>
      <c r="O61" s="131" t="s">
        <v>182</v>
      </c>
      <c r="P61" s="33" t="s">
        <v>61</v>
      </c>
      <c r="Q61" s="34" t="s">
        <v>184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10"/>
      <c r="C62" s="10"/>
      <c r="D62" s="10"/>
      <c r="E62" s="10"/>
      <c r="F62" s="10"/>
      <c r="G62" s="10"/>
      <c r="H62" s="10"/>
      <c r="I62" s="13"/>
      <c r="J62" s="10"/>
      <c r="K62" s="10"/>
      <c r="L62" s="10"/>
      <c r="M62" s="10"/>
      <c r="N62" s="10"/>
      <c r="O62" s="13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5">
        <v>27.0</v>
      </c>
      <c r="C63" s="25" t="s">
        <v>238</v>
      </c>
      <c r="D63" s="25" t="s">
        <v>241</v>
      </c>
      <c r="E63" s="64">
        <v>0.4</v>
      </c>
      <c r="F63" s="10"/>
      <c r="G63" s="5">
        <v>36.0</v>
      </c>
      <c r="H63" s="6" t="s">
        <v>313</v>
      </c>
      <c r="I63" s="73" t="s">
        <v>511</v>
      </c>
      <c r="J63" s="6" t="s">
        <v>315</v>
      </c>
      <c r="K63" s="6" t="s">
        <v>311</v>
      </c>
      <c r="L63" s="10"/>
      <c r="M63" s="5">
        <v>50.0</v>
      </c>
      <c r="N63" s="30" t="s">
        <v>235</v>
      </c>
      <c r="O63" s="131" t="s">
        <v>236</v>
      </c>
      <c r="P63" s="30" t="s">
        <v>239</v>
      </c>
      <c r="Q63" s="34" t="s">
        <v>240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10"/>
      <c r="C64" s="10"/>
      <c r="D64" s="10"/>
      <c r="E64" s="10"/>
      <c r="F64" s="10"/>
      <c r="G64" s="10"/>
      <c r="H64" s="10"/>
      <c r="I64" s="13"/>
      <c r="J64" s="10"/>
      <c r="K64" s="10"/>
      <c r="L64" s="10"/>
      <c r="M64" s="10"/>
      <c r="N64" s="10"/>
      <c r="O64" s="13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5">
        <v>28.0</v>
      </c>
      <c r="C65" s="6" t="s">
        <v>246</v>
      </c>
      <c r="D65" s="183" t="s">
        <v>247</v>
      </c>
      <c r="E65" s="226">
        <v>0.55</v>
      </c>
      <c r="F65" s="10"/>
      <c r="G65" s="5">
        <v>37.0</v>
      </c>
      <c r="H65" s="6" t="s">
        <v>320</v>
      </c>
      <c r="I65" s="73" t="s">
        <v>516</v>
      </c>
      <c r="J65" s="6" t="s">
        <v>125</v>
      </c>
      <c r="K65" s="6" t="s">
        <v>322</v>
      </c>
      <c r="L65" s="10"/>
      <c r="M65" s="5">
        <v>51.0</v>
      </c>
      <c r="N65" s="30" t="s">
        <v>255</v>
      </c>
      <c r="O65" s="131" t="s">
        <v>256</v>
      </c>
      <c r="P65" s="30" t="s">
        <v>239</v>
      </c>
      <c r="Q65" s="34" t="s">
        <v>258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10"/>
      <c r="C66" s="10"/>
      <c r="D66" s="10"/>
      <c r="E66" s="10"/>
      <c r="F66" s="10"/>
      <c r="G66" s="10"/>
      <c r="H66" s="10"/>
      <c r="I66" s="13"/>
      <c r="J66" s="10"/>
      <c r="K66" s="10"/>
      <c r="L66" s="10"/>
      <c r="M66" s="10"/>
      <c r="N66" s="10"/>
      <c r="O66" s="13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5">
        <v>29.0</v>
      </c>
      <c r="C67" s="6" t="s">
        <v>257</v>
      </c>
      <c r="D67" s="183" t="s">
        <v>259</v>
      </c>
      <c r="E67" s="6">
        <v>12.0</v>
      </c>
      <c r="F67" s="10"/>
      <c r="G67" s="5">
        <v>38.0</v>
      </c>
      <c r="H67" s="6" t="s">
        <v>324</v>
      </c>
      <c r="I67" s="73" t="s">
        <v>520</v>
      </c>
      <c r="J67" s="183" t="s">
        <v>327</v>
      </c>
      <c r="K67" s="6" t="s">
        <v>328</v>
      </c>
      <c r="L67" s="10"/>
      <c r="M67" s="5">
        <v>52.0</v>
      </c>
      <c r="N67" s="30" t="s">
        <v>273</v>
      </c>
      <c r="O67" s="131" t="s">
        <v>275</v>
      </c>
      <c r="P67" s="30" t="s">
        <v>239</v>
      </c>
      <c r="Q67" s="34" t="s">
        <v>278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10"/>
      <c r="C68" s="10"/>
      <c r="D68" s="10"/>
      <c r="E68" s="10"/>
      <c r="F68" s="10"/>
      <c r="G68" s="10"/>
      <c r="H68" s="10"/>
      <c r="I68" s="13"/>
      <c r="J68" s="10"/>
      <c r="K68" s="10"/>
      <c r="L68" s="10"/>
      <c r="M68" s="10"/>
      <c r="N68" s="10"/>
      <c r="O68" s="13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10"/>
      <c r="C69" s="10"/>
      <c r="D69" s="10"/>
      <c r="E69" s="10"/>
      <c r="F69" s="10"/>
      <c r="G69" s="5">
        <v>39.0</v>
      </c>
      <c r="H69" s="6" t="s">
        <v>332</v>
      </c>
      <c r="I69" s="73" t="s">
        <v>525</v>
      </c>
      <c r="J69" s="6" t="s">
        <v>335</v>
      </c>
      <c r="K69" s="6" t="s">
        <v>45</v>
      </c>
      <c r="L69" s="10"/>
      <c r="M69" s="5">
        <v>53.0</v>
      </c>
      <c r="N69" s="30" t="s">
        <v>291</v>
      </c>
      <c r="O69" s="131" t="s">
        <v>292</v>
      </c>
      <c r="P69" s="30" t="s">
        <v>239</v>
      </c>
      <c r="Q69" s="34" t="s">
        <v>293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10"/>
      <c r="C70" s="10"/>
      <c r="D70" s="10"/>
      <c r="E70" s="10"/>
      <c r="F70" s="10"/>
      <c r="G70" s="10"/>
      <c r="H70" s="10"/>
      <c r="I70" s="13"/>
      <c r="J70" s="10"/>
      <c r="K70" s="10"/>
      <c r="L70" s="10"/>
      <c r="M70" s="10"/>
      <c r="N70" s="10"/>
      <c r="O70" s="13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10"/>
      <c r="C71" s="10"/>
      <c r="D71" s="10"/>
      <c r="E71" s="10"/>
      <c r="F71" s="10"/>
      <c r="G71" s="5">
        <v>40.0</v>
      </c>
      <c r="H71" s="6" t="s">
        <v>338</v>
      </c>
      <c r="I71" s="73" t="s">
        <v>529</v>
      </c>
      <c r="J71" s="6" t="s">
        <v>340</v>
      </c>
      <c r="K71" s="6" t="s">
        <v>342</v>
      </c>
      <c r="L71" s="10"/>
      <c r="M71" s="5">
        <v>54.0</v>
      </c>
      <c r="N71" s="30" t="s">
        <v>304</v>
      </c>
      <c r="O71" s="131" t="s">
        <v>306</v>
      </c>
      <c r="P71" s="30" t="s">
        <v>239</v>
      </c>
      <c r="Q71" s="34" t="s">
        <v>278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10"/>
      <c r="C72" s="10"/>
      <c r="D72" s="10"/>
      <c r="E72" s="10"/>
      <c r="F72" s="10"/>
      <c r="G72" s="10"/>
      <c r="H72" s="10"/>
      <c r="I72" s="13"/>
      <c r="J72" s="10"/>
      <c r="K72" s="10"/>
      <c r="L72" s="10"/>
      <c r="M72" s="10"/>
      <c r="N72" s="10"/>
      <c r="O72" s="13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10"/>
      <c r="C73" s="10"/>
      <c r="D73" s="10"/>
      <c r="E73" s="10"/>
      <c r="F73" s="10"/>
      <c r="G73" s="5">
        <v>41.0</v>
      </c>
      <c r="H73" s="6" t="s">
        <v>348</v>
      </c>
      <c r="I73" s="73" t="s">
        <v>541</v>
      </c>
      <c r="J73" s="6" t="s">
        <v>350</v>
      </c>
      <c r="K73" s="6" t="s">
        <v>45</v>
      </c>
      <c r="L73" s="10"/>
      <c r="M73" s="5">
        <v>55.0</v>
      </c>
      <c r="N73" s="30" t="s">
        <v>316</v>
      </c>
      <c r="O73" s="241" t="s">
        <v>317</v>
      </c>
      <c r="P73" s="30" t="s">
        <v>239</v>
      </c>
      <c r="Q73" s="34" t="s">
        <v>325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10"/>
      <c r="C74" s="10"/>
      <c r="D74" s="10"/>
      <c r="E74" s="10"/>
      <c r="F74" s="10"/>
      <c r="G74" s="10"/>
      <c r="H74" s="10"/>
      <c r="I74" s="13"/>
      <c r="J74" s="10"/>
      <c r="K74" s="10"/>
      <c r="L74" s="10"/>
      <c r="M74" s="10"/>
      <c r="N74" s="10"/>
      <c r="O74" s="13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10"/>
      <c r="C75" s="10"/>
      <c r="D75" s="10"/>
      <c r="E75" s="10"/>
      <c r="F75" s="129"/>
      <c r="G75" s="5">
        <v>42.0</v>
      </c>
      <c r="H75" s="6" t="s">
        <v>354</v>
      </c>
      <c r="I75" s="73" t="s">
        <v>573</v>
      </c>
      <c r="J75" s="50" t="s">
        <v>358</v>
      </c>
      <c r="K75" s="51" t="s">
        <v>359</v>
      </c>
      <c r="L75" s="10"/>
      <c r="M75" s="5">
        <v>56.0</v>
      </c>
      <c r="N75" s="30" t="s">
        <v>372</v>
      </c>
      <c r="O75" s="131" t="s">
        <v>373</v>
      </c>
      <c r="P75" s="30" t="s">
        <v>239</v>
      </c>
      <c r="Q75" s="34" t="s">
        <v>374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10"/>
      <c r="C76" s="10"/>
      <c r="D76" s="10"/>
      <c r="E76" s="10"/>
      <c r="F76" s="10"/>
      <c r="G76" s="10"/>
      <c r="H76" s="10"/>
      <c r="I76" s="13"/>
      <c r="J76" s="10"/>
      <c r="K76" s="10"/>
      <c r="L76" s="10"/>
      <c r="M76" s="10"/>
      <c r="N76" s="10"/>
      <c r="O76" s="13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10"/>
      <c r="C77" s="10"/>
      <c r="D77" s="10"/>
      <c r="E77" s="10"/>
      <c r="F77" s="129"/>
      <c r="G77" s="5">
        <v>43.0</v>
      </c>
      <c r="H77" s="6" t="s">
        <v>347</v>
      </c>
      <c r="I77" s="265" t="s">
        <v>582</v>
      </c>
      <c r="J77" s="50" t="s">
        <v>364</v>
      </c>
      <c r="K77" s="51" t="s">
        <v>366</v>
      </c>
      <c r="L77" s="10"/>
      <c r="M77" s="5">
        <v>57.0</v>
      </c>
      <c r="N77" s="30" t="s">
        <v>384</v>
      </c>
      <c r="O77" s="131" t="s">
        <v>385</v>
      </c>
      <c r="P77" s="30" t="s">
        <v>239</v>
      </c>
      <c r="Q77" s="34" t="s">
        <v>386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10"/>
      <c r="C78" s="10"/>
      <c r="D78" s="10"/>
      <c r="E78" s="10"/>
      <c r="F78" s="10"/>
      <c r="G78" s="10"/>
      <c r="H78" s="10"/>
      <c r="I78" s="13"/>
      <c r="J78" s="10"/>
      <c r="K78" s="10"/>
      <c r="L78" s="10"/>
      <c r="M78" s="10"/>
      <c r="N78" s="10"/>
      <c r="O78" s="13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10"/>
      <c r="C79" s="10"/>
      <c r="D79" s="10"/>
      <c r="E79" s="10"/>
      <c r="F79" s="10"/>
      <c r="G79" s="10"/>
      <c r="H79" s="10"/>
      <c r="I79" s="13"/>
      <c r="J79" s="10"/>
      <c r="K79" s="10"/>
      <c r="L79" s="10"/>
      <c r="M79" s="5">
        <v>58.0</v>
      </c>
      <c r="N79" s="30" t="s">
        <v>212</v>
      </c>
      <c r="O79" s="148" t="s">
        <v>214</v>
      </c>
      <c r="P79" s="33" t="s">
        <v>61</v>
      </c>
      <c r="Q79" s="34" t="s">
        <v>217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10"/>
      <c r="C80" s="10"/>
      <c r="D80" s="10"/>
      <c r="E80" s="10"/>
      <c r="F80" s="10"/>
      <c r="G80" s="10"/>
      <c r="H80" s="10"/>
      <c r="I80" s="13"/>
      <c r="J80" s="10"/>
      <c r="K80" s="10"/>
      <c r="L80" s="10"/>
      <c r="M80" s="10"/>
      <c r="N80" s="10"/>
      <c r="O80" s="13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10"/>
      <c r="C81" s="10"/>
      <c r="D81" s="10"/>
      <c r="E81" s="10"/>
      <c r="F81" s="10"/>
      <c r="G81" s="10"/>
      <c r="H81" s="10"/>
      <c r="I81" s="13"/>
      <c r="J81" s="10"/>
      <c r="K81" s="10"/>
      <c r="L81" s="10"/>
      <c r="M81" s="10"/>
      <c r="N81" s="10"/>
      <c r="O81" s="13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10"/>
      <c r="C82" s="10"/>
      <c r="D82" s="10"/>
      <c r="E82" s="10"/>
      <c r="F82" s="10"/>
      <c r="G82" s="10"/>
      <c r="H82" s="10"/>
      <c r="I82" s="13"/>
      <c r="J82" s="10"/>
      <c r="K82" s="10"/>
      <c r="L82" s="10"/>
      <c r="M82" s="10"/>
      <c r="N82" s="10"/>
      <c r="O82" s="13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10"/>
      <c r="C83" s="10"/>
      <c r="D83" s="10"/>
      <c r="E83" s="10"/>
      <c r="F83" s="10"/>
      <c r="G83" s="10"/>
      <c r="H83" s="10"/>
      <c r="I83" s="13"/>
      <c r="J83" s="10"/>
      <c r="K83" s="10"/>
      <c r="L83" s="10"/>
      <c r="M83" s="10"/>
      <c r="N83" s="10"/>
      <c r="O83" s="13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10"/>
      <c r="C84" s="10"/>
      <c r="D84" s="10"/>
      <c r="E84" s="10"/>
      <c r="F84" s="10"/>
      <c r="G84" s="10"/>
      <c r="H84" s="10"/>
      <c r="I84" s="13"/>
      <c r="J84" s="10"/>
      <c r="K84" s="10"/>
      <c r="L84" s="10"/>
      <c r="M84" s="10"/>
      <c r="N84" s="10"/>
      <c r="O84" s="13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10"/>
      <c r="C85" s="10"/>
      <c r="D85" s="10"/>
      <c r="E85" s="10"/>
      <c r="F85" s="10"/>
      <c r="G85" s="10"/>
      <c r="H85" s="10"/>
      <c r="I85" s="13"/>
      <c r="J85" s="10"/>
      <c r="K85" s="10"/>
      <c r="L85" s="10"/>
      <c r="M85" s="10"/>
      <c r="N85" s="10"/>
      <c r="O85" s="13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10"/>
      <c r="C86" s="10"/>
      <c r="D86" s="10"/>
      <c r="E86" s="10"/>
      <c r="F86" s="10"/>
      <c r="G86" s="10"/>
      <c r="H86" s="10"/>
      <c r="I86" s="13"/>
      <c r="J86" s="10"/>
      <c r="K86" s="10"/>
      <c r="L86" s="10"/>
      <c r="M86" s="10"/>
      <c r="N86" s="10"/>
      <c r="O86" s="13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10"/>
      <c r="C87" s="10"/>
      <c r="D87" s="10"/>
      <c r="E87" s="10"/>
      <c r="F87" s="10"/>
      <c r="G87" s="10"/>
      <c r="H87" s="10"/>
      <c r="I87" s="13"/>
      <c r="J87" s="10"/>
      <c r="K87" s="10"/>
      <c r="L87" s="10"/>
      <c r="M87" s="10"/>
      <c r="N87" s="10"/>
      <c r="O87" s="13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10"/>
      <c r="C88" s="10"/>
      <c r="D88" s="10"/>
      <c r="E88" s="10"/>
      <c r="F88" s="10"/>
      <c r="G88" s="10"/>
      <c r="H88" s="10"/>
      <c r="I88" s="13"/>
      <c r="J88" s="10"/>
      <c r="K88" s="10"/>
      <c r="L88" s="10"/>
      <c r="M88" s="10"/>
      <c r="N88" s="10"/>
      <c r="O88" s="13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10"/>
      <c r="C89" s="10"/>
      <c r="D89" s="10"/>
      <c r="E89" s="10"/>
      <c r="F89" s="10"/>
      <c r="G89" s="10"/>
      <c r="H89" s="10"/>
      <c r="I89" s="13"/>
      <c r="J89" s="10"/>
      <c r="K89" s="10"/>
      <c r="L89" s="10"/>
      <c r="M89" s="10"/>
      <c r="N89" s="10"/>
      <c r="O89" s="1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10"/>
      <c r="C90" s="10"/>
      <c r="D90" s="10"/>
      <c r="E90" s="10"/>
      <c r="F90" s="10"/>
      <c r="G90" s="10"/>
      <c r="H90" s="10"/>
      <c r="I90" s="13"/>
      <c r="J90" s="10"/>
      <c r="K90" s="10"/>
      <c r="L90" s="10"/>
      <c r="M90" s="10"/>
      <c r="N90" s="10"/>
      <c r="O90" s="13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10"/>
      <c r="C91" s="10"/>
      <c r="D91" s="10"/>
      <c r="E91" s="10"/>
      <c r="F91" s="10"/>
      <c r="G91" s="10"/>
      <c r="H91" s="10"/>
      <c r="I91" s="13"/>
      <c r="J91" s="10"/>
      <c r="K91" s="10"/>
      <c r="L91" s="10"/>
      <c r="M91" s="10"/>
      <c r="N91" s="10"/>
      <c r="O91" s="13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10"/>
      <c r="C92" s="10"/>
      <c r="D92" s="10"/>
      <c r="E92" s="10"/>
      <c r="F92" s="10"/>
      <c r="G92" s="10"/>
      <c r="H92" s="10"/>
      <c r="I92" s="13"/>
      <c r="J92" s="10"/>
      <c r="K92" s="10"/>
      <c r="L92" s="10"/>
      <c r="M92" s="10"/>
      <c r="N92" s="10"/>
      <c r="O92" s="13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10"/>
      <c r="C93" s="10"/>
      <c r="D93" s="10"/>
      <c r="E93" s="10"/>
      <c r="F93" s="10"/>
      <c r="G93" s="10"/>
      <c r="H93" s="10"/>
      <c r="I93" s="13"/>
      <c r="J93" s="10"/>
      <c r="K93" s="10"/>
      <c r="L93" s="10"/>
      <c r="M93" s="10"/>
      <c r="N93" s="10"/>
      <c r="O93" s="1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10"/>
      <c r="C94" s="10"/>
      <c r="D94" s="10"/>
      <c r="E94" s="10"/>
      <c r="F94" s="10"/>
      <c r="G94" s="10"/>
      <c r="H94" s="10"/>
      <c r="I94" s="13"/>
      <c r="J94" s="10"/>
      <c r="K94" s="10"/>
      <c r="L94" s="10"/>
      <c r="M94" s="10"/>
      <c r="N94" s="10"/>
      <c r="O94" s="13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10"/>
      <c r="C95" s="10"/>
      <c r="D95" s="10"/>
      <c r="E95" s="10"/>
      <c r="F95" s="10"/>
      <c r="G95" s="10"/>
      <c r="H95" s="10"/>
      <c r="I95" s="13"/>
      <c r="J95" s="10"/>
      <c r="K95" s="10"/>
      <c r="L95" s="10"/>
      <c r="M95" s="10"/>
      <c r="N95" s="10"/>
      <c r="O95" s="1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"/>
      <c r="D96" s="10"/>
      <c r="E96" s="10"/>
      <c r="F96" s="10"/>
      <c r="G96" s="10"/>
      <c r="H96" s="10"/>
      <c r="I96" s="13"/>
      <c r="J96" s="10"/>
      <c r="K96" s="10"/>
      <c r="L96" s="10"/>
      <c r="M96" s="10"/>
      <c r="N96" s="10"/>
      <c r="O96" s="13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"/>
      <c r="D97" s="10"/>
      <c r="E97" s="10"/>
      <c r="F97" s="10"/>
      <c r="G97" s="10"/>
      <c r="H97" s="10"/>
      <c r="I97" s="13"/>
      <c r="J97" s="10"/>
      <c r="K97" s="10"/>
      <c r="L97" s="10"/>
      <c r="M97" s="10"/>
      <c r="N97" s="10"/>
      <c r="O97" s="13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"/>
      <c r="D98" s="10"/>
      <c r="E98" s="10"/>
      <c r="F98" s="10"/>
      <c r="G98" s="10"/>
      <c r="H98" s="10"/>
      <c r="I98" s="13"/>
      <c r="J98" s="10"/>
      <c r="K98" s="10"/>
      <c r="L98" s="10"/>
      <c r="M98" s="10"/>
      <c r="N98" s="10"/>
      <c r="O98" s="13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"/>
      <c r="D99" s="10"/>
      <c r="E99" s="10"/>
      <c r="F99" s="10"/>
      <c r="G99" s="10"/>
      <c r="H99" s="10"/>
      <c r="I99" s="13"/>
      <c r="J99" s="10"/>
      <c r="K99" s="10"/>
      <c r="L99" s="10"/>
      <c r="M99" s="10"/>
      <c r="N99" s="10"/>
      <c r="O99" s="13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3"/>
      <c r="J100" s="10"/>
      <c r="K100" s="10"/>
      <c r="L100" s="10"/>
      <c r="M100" s="10"/>
      <c r="N100" s="10"/>
      <c r="O100" s="13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3"/>
      <c r="J101" s="10"/>
      <c r="K101" s="10"/>
      <c r="L101" s="10"/>
      <c r="M101" s="10"/>
      <c r="N101" s="10"/>
      <c r="O101" s="13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3"/>
      <c r="J102" s="10"/>
      <c r="K102" s="10"/>
      <c r="L102" s="10"/>
      <c r="M102" s="10"/>
      <c r="N102" s="10"/>
      <c r="O102" s="13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3"/>
      <c r="J103" s="10"/>
      <c r="K103" s="10"/>
      <c r="L103" s="10"/>
      <c r="M103" s="10"/>
      <c r="N103" s="10"/>
      <c r="O103" s="13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3"/>
      <c r="J104" s="10"/>
      <c r="K104" s="10"/>
      <c r="L104" s="10"/>
      <c r="M104" s="10"/>
      <c r="N104" s="10"/>
      <c r="O104" s="13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3"/>
      <c r="J105" s="10"/>
      <c r="K105" s="10"/>
      <c r="L105" s="10"/>
      <c r="M105" s="10"/>
      <c r="N105" s="10"/>
      <c r="O105" s="13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3"/>
      <c r="J106" s="10"/>
      <c r="K106" s="10"/>
      <c r="L106" s="10"/>
      <c r="M106" s="10"/>
      <c r="N106" s="10"/>
      <c r="O106" s="13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3"/>
      <c r="J107" s="10"/>
      <c r="K107" s="10"/>
      <c r="L107" s="10"/>
      <c r="M107" s="10"/>
      <c r="N107" s="10"/>
      <c r="O107" s="13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3"/>
      <c r="J108" s="10"/>
      <c r="K108" s="10"/>
      <c r="L108" s="10"/>
      <c r="M108" s="10"/>
      <c r="N108" s="10"/>
      <c r="O108" s="13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3"/>
      <c r="J109" s="10"/>
      <c r="K109" s="10"/>
      <c r="L109" s="10"/>
      <c r="M109" s="10"/>
      <c r="N109" s="10"/>
      <c r="O109" s="13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3"/>
      <c r="J110" s="10"/>
      <c r="K110" s="10"/>
      <c r="L110" s="10"/>
      <c r="M110" s="10"/>
      <c r="N110" s="10"/>
      <c r="O110" s="13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3"/>
      <c r="J111" s="10"/>
      <c r="K111" s="10"/>
      <c r="L111" s="10"/>
      <c r="M111" s="10"/>
      <c r="N111" s="10"/>
      <c r="O111" s="13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3"/>
      <c r="J112" s="10"/>
      <c r="K112" s="10"/>
      <c r="L112" s="10"/>
      <c r="M112" s="10"/>
      <c r="N112" s="10"/>
      <c r="O112" s="13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3"/>
      <c r="J113" s="10"/>
      <c r="K113" s="10"/>
      <c r="L113" s="10"/>
      <c r="M113" s="10"/>
      <c r="N113" s="10"/>
      <c r="O113" s="13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3"/>
      <c r="J114" s="10"/>
      <c r="K114" s="10"/>
      <c r="L114" s="10"/>
      <c r="M114" s="10"/>
      <c r="N114" s="10"/>
      <c r="O114" s="13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3"/>
      <c r="J115" s="10"/>
      <c r="K115" s="10"/>
      <c r="L115" s="10"/>
      <c r="M115" s="10"/>
      <c r="N115" s="10"/>
      <c r="O115" s="13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3"/>
      <c r="J116" s="10"/>
      <c r="K116" s="10"/>
      <c r="L116" s="10"/>
      <c r="M116" s="10"/>
      <c r="N116" s="10"/>
      <c r="O116" s="13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3"/>
      <c r="J117" s="10"/>
      <c r="K117" s="10"/>
      <c r="L117" s="10"/>
      <c r="M117" s="10"/>
      <c r="N117" s="10"/>
      <c r="O117" s="13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3"/>
      <c r="J118" s="10"/>
      <c r="K118" s="10"/>
      <c r="L118" s="10"/>
      <c r="M118" s="10"/>
      <c r="N118" s="10"/>
      <c r="O118" s="13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3"/>
      <c r="J119" s="10"/>
      <c r="K119" s="10"/>
      <c r="L119" s="10"/>
      <c r="M119" s="10"/>
      <c r="N119" s="10"/>
      <c r="O119" s="13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3"/>
      <c r="J120" s="10"/>
      <c r="K120" s="10"/>
      <c r="L120" s="10"/>
      <c r="M120" s="10"/>
      <c r="N120" s="10"/>
      <c r="O120" s="13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3"/>
      <c r="J121" s="10"/>
      <c r="K121" s="10"/>
      <c r="L121" s="10"/>
      <c r="M121" s="10"/>
      <c r="N121" s="10"/>
      <c r="O121" s="13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3"/>
      <c r="J122" s="10"/>
      <c r="K122" s="10"/>
      <c r="L122" s="10"/>
      <c r="M122" s="10"/>
      <c r="N122" s="10"/>
      <c r="O122" s="13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3"/>
      <c r="J123" s="10"/>
      <c r="K123" s="10"/>
      <c r="L123" s="10"/>
      <c r="M123" s="10"/>
      <c r="N123" s="10"/>
      <c r="O123" s="13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3"/>
      <c r="J124" s="10"/>
      <c r="K124" s="10"/>
      <c r="L124" s="10"/>
      <c r="M124" s="10"/>
      <c r="N124" s="10"/>
      <c r="O124" s="13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3"/>
      <c r="J125" s="10"/>
      <c r="K125" s="10"/>
      <c r="L125" s="10"/>
      <c r="M125" s="10"/>
      <c r="N125" s="10"/>
      <c r="O125" s="13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3"/>
      <c r="J126" s="10"/>
      <c r="K126" s="10"/>
      <c r="L126" s="10"/>
      <c r="M126" s="10"/>
      <c r="N126" s="10"/>
      <c r="O126" s="13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3"/>
      <c r="J127" s="10"/>
      <c r="K127" s="10"/>
      <c r="L127" s="10"/>
      <c r="M127" s="10"/>
      <c r="N127" s="10"/>
      <c r="O127" s="13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3"/>
      <c r="J128" s="10"/>
      <c r="K128" s="10"/>
      <c r="L128" s="10"/>
      <c r="M128" s="10"/>
      <c r="N128" s="10"/>
      <c r="O128" s="13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3"/>
      <c r="J129" s="10"/>
      <c r="K129" s="10"/>
      <c r="L129" s="10"/>
      <c r="M129" s="10"/>
      <c r="N129" s="10"/>
      <c r="O129" s="13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3"/>
      <c r="J130" s="10"/>
      <c r="K130" s="10"/>
      <c r="L130" s="10"/>
      <c r="M130" s="10"/>
      <c r="N130" s="10"/>
      <c r="O130" s="13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3"/>
      <c r="J131" s="10"/>
      <c r="K131" s="10"/>
      <c r="L131" s="10"/>
      <c r="M131" s="10"/>
      <c r="N131" s="10"/>
      <c r="O131" s="13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3"/>
      <c r="J132" s="10"/>
      <c r="K132" s="10"/>
      <c r="L132" s="10"/>
      <c r="M132" s="10"/>
      <c r="N132" s="10"/>
      <c r="O132" s="13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3"/>
      <c r="J133" s="10"/>
      <c r="K133" s="10"/>
      <c r="L133" s="10"/>
      <c r="M133" s="10"/>
      <c r="N133" s="10"/>
      <c r="O133" s="1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3"/>
      <c r="J134" s="10"/>
      <c r="K134" s="10"/>
      <c r="L134" s="10"/>
      <c r="M134" s="10"/>
      <c r="N134" s="10"/>
      <c r="O134" s="13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3"/>
      <c r="J135" s="10"/>
      <c r="K135" s="10"/>
      <c r="L135" s="10"/>
      <c r="M135" s="10"/>
      <c r="N135" s="10"/>
      <c r="O135" s="1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3"/>
      <c r="J136" s="10"/>
      <c r="K136" s="10"/>
      <c r="L136" s="10"/>
      <c r="M136" s="10"/>
      <c r="N136" s="10"/>
      <c r="O136" s="13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3"/>
      <c r="J137" s="10"/>
      <c r="K137" s="10"/>
      <c r="L137" s="10"/>
      <c r="M137" s="10"/>
      <c r="N137" s="10"/>
      <c r="O137" s="13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3"/>
      <c r="J138" s="10"/>
      <c r="K138" s="10"/>
      <c r="L138" s="10"/>
      <c r="M138" s="10"/>
      <c r="N138" s="10"/>
      <c r="O138" s="13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3"/>
      <c r="J139" s="10"/>
      <c r="K139" s="10"/>
      <c r="L139" s="10"/>
      <c r="M139" s="10"/>
      <c r="N139" s="10"/>
      <c r="O139" s="13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3"/>
      <c r="J140" s="10"/>
      <c r="K140" s="10"/>
      <c r="L140" s="10"/>
      <c r="M140" s="10"/>
      <c r="N140" s="10"/>
      <c r="O140" s="13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3"/>
      <c r="J141" s="10"/>
      <c r="K141" s="10"/>
      <c r="L141" s="10"/>
      <c r="M141" s="10"/>
      <c r="N141" s="10"/>
      <c r="O141" s="13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3"/>
      <c r="J142" s="10"/>
      <c r="K142" s="10"/>
      <c r="L142" s="10"/>
      <c r="M142" s="10"/>
      <c r="N142" s="10"/>
      <c r="O142" s="13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3"/>
      <c r="J143" s="10"/>
      <c r="K143" s="10"/>
      <c r="L143" s="10"/>
      <c r="M143" s="10"/>
      <c r="N143" s="10"/>
      <c r="O143" s="13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3"/>
      <c r="J144" s="10"/>
      <c r="K144" s="10"/>
      <c r="L144" s="10"/>
      <c r="M144" s="10"/>
      <c r="N144" s="10"/>
      <c r="O144" s="13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3"/>
      <c r="J145" s="10"/>
      <c r="K145" s="10"/>
      <c r="L145" s="10"/>
      <c r="M145" s="10"/>
      <c r="N145" s="10"/>
      <c r="O145" s="13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3"/>
      <c r="J146" s="10"/>
      <c r="K146" s="10"/>
      <c r="L146" s="10"/>
      <c r="M146" s="10"/>
      <c r="N146" s="10"/>
      <c r="O146" s="13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3"/>
      <c r="J147" s="10"/>
      <c r="K147" s="10"/>
      <c r="L147" s="10"/>
      <c r="M147" s="10"/>
      <c r="N147" s="10"/>
      <c r="O147" s="1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3"/>
      <c r="J148" s="10"/>
      <c r="K148" s="10"/>
      <c r="L148" s="10"/>
      <c r="M148" s="10"/>
      <c r="N148" s="10"/>
      <c r="O148" s="1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3"/>
      <c r="J149" s="10"/>
      <c r="K149" s="10"/>
      <c r="L149" s="10"/>
      <c r="M149" s="10"/>
      <c r="N149" s="10"/>
      <c r="O149" s="1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3"/>
      <c r="J150" s="10"/>
      <c r="K150" s="10"/>
      <c r="L150" s="10"/>
      <c r="M150" s="10"/>
      <c r="N150" s="10"/>
      <c r="O150" s="1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3"/>
      <c r="J151" s="10"/>
      <c r="K151" s="10"/>
      <c r="L151" s="10"/>
      <c r="M151" s="10"/>
      <c r="N151" s="10"/>
      <c r="O151" s="1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3"/>
      <c r="J152" s="10"/>
      <c r="K152" s="10"/>
      <c r="L152" s="10"/>
      <c r="M152" s="10"/>
      <c r="N152" s="10"/>
      <c r="O152" s="13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3"/>
      <c r="J153" s="10"/>
      <c r="K153" s="10"/>
      <c r="L153" s="10"/>
      <c r="M153" s="10"/>
      <c r="N153" s="10"/>
      <c r="O153" s="13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3"/>
      <c r="J154" s="10"/>
      <c r="K154" s="10"/>
      <c r="L154" s="10"/>
      <c r="M154" s="10"/>
      <c r="N154" s="10"/>
      <c r="O154" s="13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3"/>
      <c r="J155" s="10"/>
      <c r="K155" s="10"/>
      <c r="L155" s="10"/>
      <c r="M155" s="10"/>
      <c r="N155" s="10"/>
      <c r="O155" s="13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3"/>
      <c r="J156" s="10"/>
      <c r="K156" s="10"/>
      <c r="L156" s="10"/>
      <c r="M156" s="10"/>
      <c r="N156" s="10"/>
      <c r="O156" s="13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3"/>
      <c r="J157" s="10"/>
      <c r="K157" s="10"/>
      <c r="L157" s="10"/>
      <c r="M157" s="10"/>
      <c r="N157" s="10"/>
      <c r="O157" s="13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3"/>
      <c r="J158" s="10"/>
      <c r="K158" s="10"/>
      <c r="L158" s="10"/>
      <c r="M158" s="10"/>
      <c r="N158" s="10"/>
      <c r="O158" s="13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3"/>
      <c r="J159" s="10"/>
      <c r="K159" s="10"/>
      <c r="L159" s="10"/>
      <c r="M159" s="10"/>
      <c r="N159" s="10"/>
      <c r="O159" s="13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3"/>
      <c r="J160" s="10"/>
      <c r="K160" s="10"/>
      <c r="L160" s="10"/>
      <c r="M160" s="10"/>
      <c r="N160" s="10"/>
      <c r="O160" s="1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3"/>
      <c r="J161" s="10"/>
      <c r="K161" s="10"/>
      <c r="L161" s="10"/>
      <c r="M161" s="10"/>
      <c r="N161" s="10"/>
      <c r="O161" s="1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3"/>
      <c r="J162" s="10"/>
      <c r="K162" s="10"/>
      <c r="L162" s="10"/>
      <c r="M162" s="10"/>
      <c r="N162" s="10"/>
      <c r="O162" s="1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3"/>
      <c r="J163" s="10"/>
      <c r="K163" s="10"/>
      <c r="L163" s="10"/>
      <c r="M163" s="10"/>
      <c r="N163" s="10"/>
      <c r="O163" s="1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3"/>
      <c r="J164" s="10"/>
      <c r="K164" s="10"/>
      <c r="L164" s="10"/>
      <c r="M164" s="10"/>
      <c r="N164" s="10"/>
      <c r="O164" s="1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3"/>
      <c r="J165" s="10"/>
      <c r="K165" s="10"/>
      <c r="L165" s="10"/>
      <c r="M165" s="10"/>
      <c r="N165" s="10"/>
      <c r="O165" s="1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3"/>
      <c r="J166" s="10"/>
      <c r="K166" s="10"/>
      <c r="L166" s="10"/>
      <c r="M166" s="10"/>
      <c r="N166" s="10"/>
      <c r="O166" s="1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3"/>
      <c r="J167" s="10"/>
      <c r="K167" s="10"/>
      <c r="L167" s="10"/>
      <c r="M167" s="10"/>
      <c r="N167" s="10"/>
      <c r="O167" s="1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3"/>
      <c r="J168" s="10"/>
      <c r="K168" s="10"/>
      <c r="L168" s="10"/>
      <c r="M168" s="10"/>
      <c r="N168" s="10"/>
      <c r="O168" s="1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3"/>
      <c r="J169" s="10"/>
      <c r="K169" s="10"/>
      <c r="L169" s="10"/>
      <c r="M169" s="10"/>
      <c r="N169" s="10"/>
      <c r="O169" s="1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3"/>
      <c r="J170" s="10"/>
      <c r="K170" s="10"/>
      <c r="L170" s="10"/>
      <c r="M170" s="10"/>
      <c r="N170" s="10"/>
      <c r="O170" s="1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3"/>
      <c r="J171" s="10"/>
      <c r="K171" s="10"/>
      <c r="L171" s="10"/>
      <c r="M171" s="10"/>
      <c r="N171" s="10"/>
      <c r="O171" s="1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3"/>
      <c r="J172" s="10"/>
      <c r="K172" s="10"/>
      <c r="L172" s="10"/>
      <c r="M172" s="10"/>
      <c r="N172" s="10"/>
      <c r="O172" s="1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3"/>
      <c r="J173" s="10"/>
      <c r="K173" s="10"/>
      <c r="L173" s="10"/>
      <c r="M173" s="10"/>
      <c r="N173" s="10"/>
      <c r="O173" s="13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3"/>
      <c r="J174" s="10"/>
      <c r="K174" s="10"/>
      <c r="L174" s="10"/>
      <c r="M174" s="10"/>
      <c r="N174" s="10"/>
      <c r="O174" s="13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3"/>
      <c r="J175" s="10"/>
      <c r="K175" s="10"/>
      <c r="L175" s="10"/>
      <c r="M175" s="10"/>
      <c r="N175" s="10"/>
      <c r="O175" s="1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3"/>
      <c r="J176" s="10"/>
      <c r="K176" s="10"/>
      <c r="L176" s="10"/>
      <c r="M176" s="10"/>
      <c r="N176" s="10"/>
      <c r="O176" s="1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3"/>
      <c r="J177" s="10"/>
      <c r="K177" s="10"/>
      <c r="L177" s="10"/>
      <c r="M177" s="10"/>
      <c r="N177" s="10"/>
      <c r="O177" s="1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3"/>
      <c r="J178" s="10"/>
      <c r="K178" s="10"/>
      <c r="L178" s="10"/>
      <c r="M178" s="10"/>
      <c r="N178" s="10"/>
      <c r="O178" s="1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3"/>
      <c r="J179" s="10"/>
      <c r="K179" s="10"/>
      <c r="L179" s="10"/>
      <c r="M179" s="10"/>
      <c r="N179" s="10"/>
      <c r="O179" s="1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3"/>
      <c r="J180" s="10"/>
      <c r="K180" s="10"/>
      <c r="L180" s="10"/>
      <c r="M180" s="10"/>
      <c r="N180" s="10"/>
      <c r="O180" s="1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3"/>
      <c r="J181" s="10"/>
      <c r="K181" s="10"/>
      <c r="L181" s="10"/>
      <c r="M181" s="10"/>
      <c r="N181" s="10"/>
      <c r="O181" s="1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3"/>
      <c r="J182" s="10"/>
      <c r="K182" s="10"/>
      <c r="L182" s="10"/>
      <c r="M182" s="10"/>
      <c r="N182" s="10"/>
      <c r="O182" s="1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3"/>
      <c r="J183" s="10"/>
      <c r="K183" s="10"/>
      <c r="L183" s="10"/>
      <c r="M183" s="10"/>
      <c r="N183" s="10"/>
      <c r="O183" s="1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3"/>
      <c r="J184" s="10"/>
      <c r="K184" s="10"/>
      <c r="L184" s="10"/>
      <c r="M184" s="10"/>
      <c r="N184" s="10"/>
      <c r="O184" s="1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3"/>
      <c r="J185" s="10"/>
      <c r="K185" s="10"/>
      <c r="L185" s="10"/>
      <c r="M185" s="10"/>
      <c r="N185" s="10"/>
      <c r="O185" s="1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3"/>
      <c r="J186" s="10"/>
      <c r="K186" s="10"/>
      <c r="L186" s="10"/>
      <c r="M186" s="10"/>
      <c r="N186" s="10"/>
      <c r="O186" s="1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3"/>
      <c r="J187" s="10"/>
      <c r="K187" s="10"/>
      <c r="L187" s="10"/>
      <c r="M187" s="10"/>
      <c r="N187" s="10"/>
      <c r="O187" s="1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3"/>
      <c r="J188" s="10"/>
      <c r="K188" s="10"/>
      <c r="L188" s="10"/>
      <c r="M188" s="10"/>
      <c r="N188" s="10"/>
      <c r="O188" s="1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3"/>
      <c r="J189" s="10"/>
      <c r="K189" s="10"/>
      <c r="L189" s="10"/>
      <c r="M189" s="10"/>
      <c r="N189" s="10"/>
      <c r="O189" s="1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3"/>
      <c r="J190" s="10"/>
      <c r="K190" s="10"/>
      <c r="L190" s="10"/>
      <c r="M190" s="10"/>
      <c r="N190" s="10"/>
      <c r="O190" s="1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3"/>
      <c r="J191" s="10"/>
      <c r="K191" s="10"/>
      <c r="L191" s="10"/>
      <c r="M191" s="10"/>
      <c r="N191" s="10"/>
      <c r="O191" s="1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3"/>
      <c r="J192" s="10"/>
      <c r="K192" s="10"/>
      <c r="L192" s="10"/>
      <c r="M192" s="10"/>
      <c r="N192" s="10"/>
      <c r="O192" s="1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3"/>
      <c r="J193" s="10"/>
      <c r="K193" s="10"/>
      <c r="L193" s="10"/>
      <c r="M193" s="10"/>
      <c r="N193" s="10"/>
      <c r="O193" s="1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3"/>
      <c r="J194" s="10"/>
      <c r="K194" s="10"/>
      <c r="L194" s="10"/>
      <c r="M194" s="10"/>
      <c r="N194" s="10"/>
      <c r="O194" s="1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3"/>
      <c r="J195" s="10"/>
      <c r="K195" s="10"/>
      <c r="L195" s="10"/>
      <c r="M195" s="10"/>
      <c r="N195" s="10"/>
      <c r="O195" s="1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3"/>
      <c r="J196" s="10"/>
      <c r="K196" s="10"/>
      <c r="L196" s="10"/>
      <c r="M196" s="10"/>
      <c r="N196" s="10"/>
      <c r="O196" s="1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3"/>
      <c r="J197" s="10"/>
      <c r="K197" s="10"/>
      <c r="L197" s="10"/>
      <c r="M197" s="10"/>
      <c r="N197" s="10"/>
      <c r="O197" s="1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3"/>
      <c r="J198" s="10"/>
      <c r="K198" s="10"/>
      <c r="L198" s="10"/>
      <c r="M198" s="10"/>
      <c r="N198" s="10"/>
      <c r="O198" s="1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3"/>
      <c r="J199" s="10"/>
      <c r="K199" s="10"/>
      <c r="L199" s="10"/>
      <c r="M199" s="10"/>
      <c r="N199" s="10"/>
      <c r="O199" s="1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3"/>
      <c r="J200" s="10"/>
      <c r="K200" s="10"/>
      <c r="L200" s="10"/>
      <c r="M200" s="10"/>
      <c r="N200" s="10"/>
      <c r="O200" s="1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3"/>
      <c r="J201" s="10"/>
      <c r="K201" s="10"/>
      <c r="L201" s="10"/>
      <c r="M201" s="10"/>
      <c r="N201" s="10"/>
      <c r="O201" s="1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3"/>
      <c r="J202" s="10"/>
      <c r="K202" s="10"/>
      <c r="L202" s="10"/>
      <c r="M202" s="10"/>
      <c r="N202" s="10"/>
      <c r="O202" s="1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3"/>
      <c r="J203" s="10"/>
      <c r="K203" s="10"/>
      <c r="L203" s="10"/>
      <c r="M203" s="10"/>
      <c r="N203" s="10"/>
      <c r="O203" s="13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3"/>
      <c r="J204" s="10"/>
      <c r="K204" s="10"/>
      <c r="L204" s="10"/>
      <c r="M204" s="10"/>
      <c r="N204" s="10"/>
      <c r="O204" s="13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3"/>
      <c r="J205" s="10"/>
      <c r="K205" s="10"/>
      <c r="L205" s="10"/>
      <c r="M205" s="10"/>
      <c r="N205" s="10"/>
      <c r="O205" s="13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3"/>
      <c r="J206" s="10"/>
      <c r="K206" s="10"/>
      <c r="L206" s="10"/>
      <c r="M206" s="10"/>
      <c r="N206" s="10"/>
      <c r="O206" s="13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3"/>
      <c r="J207" s="10"/>
      <c r="K207" s="10"/>
      <c r="L207" s="10"/>
      <c r="M207" s="10"/>
      <c r="N207" s="10"/>
      <c r="O207" s="13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3"/>
      <c r="J208" s="10"/>
      <c r="K208" s="10"/>
      <c r="L208" s="10"/>
      <c r="M208" s="10"/>
      <c r="N208" s="10"/>
      <c r="O208" s="13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3"/>
      <c r="J209" s="10"/>
      <c r="K209" s="10"/>
      <c r="L209" s="10"/>
      <c r="M209" s="10"/>
      <c r="N209" s="10"/>
      <c r="O209" s="13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3"/>
      <c r="J210" s="10"/>
      <c r="K210" s="10"/>
      <c r="L210" s="10"/>
      <c r="M210" s="10"/>
      <c r="N210" s="10"/>
      <c r="O210" s="13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3"/>
      <c r="J211" s="10"/>
      <c r="K211" s="10"/>
      <c r="L211" s="10"/>
      <c r="M211" s="10"/>
      <c r="N211" s="10"/>
      <c r="O211" s="13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3"/>
      <c r="J212" s="10"/>
      <c r="K212" s="10"/>
      <c r="L212" s="10"/>
      <c r="M212" s="10"/>
      <c r="N212" s="10"/>
      <c r="O212" s="13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3"/>
      <c r="J213" s="10"/>
      <c r="K213" s="10"/>
      <c r="L213" s="10"/>
      <c r="M213" s="10"/>
      <c r="N213" s="10"/>
      <c r="O213" s="13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3"/>
      <c r="J214" s="10"/>
      <c r="K214" s="10"/>
      <c r="L214" s="10"/>
      <c r="M214" s="10"/>
      <c r="N214" s="10"/>
      <c r="O214" s="13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3"/>
      <c r="J215" s="10"/>
      <c r="K215" s="10"/>
      <c r="L215" s="10"/>
      <c r="M215" s="10"/>
      <c r="N215" s="10"/>
      <c r="O215" s="13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3"/>
      <c r="J216" s="10"/>
      <c r="K216" s="10"/>
      <c r="L216" s="10"/>
      <c r="M216" s="10"/>
      <c r="N216" s="10"/>
      <c r="O216" s="13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3"/>
      <c r="J217" s="10"/>
      <c r="K217" s="10"/>
      <c r="L217" s="10"/>
      <c r="M217" s="10"/>
      <c r="N217" s="10"/>
      <c r="O217" s="13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3"/>
      <c r="J218" s="10"/>
      <c r="K218" s="10"/>
      <c r="L218" s="10"/>
      <c r="M218" s="10"/>
      <c r="N218" s="10"/>
      <c r="O218" s="13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3"/>
      <c r="J219" s="10"/>
      <c r="K219" s="10"/>
      <c r="L219" s="10"/>
      <c r="M219" s="10"/>
      <c r="N219" s="10"/>
      <c r="O219" s="13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3"/>
      <c r="J220" s="10"/>
      <c r="K220" s="10"/>
      <c r="L220" s="10"/>
      <c r="M220" s="10"/>
      <c r="N220" s="10"/>
      <c r="O220" s="13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3"/>
      <c r="J221" s="10"/>
      <c r="K221" s="10"/>
      <c r="L221" s="10"/>
      <c r="M221" s="10"/>
      <c r="N221" s="10"/>
      <c r="O221" s="13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3"/>
      <c r="J222" s="10"/>
      <c r="K222" s="10"/>
      <c r="L222" s="10"/>
      <c r="M222" s="10"/>
      <c r="N222" s="10"/>
      <c r="O222" s="13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3"/>
      <c r="J223" s="10"/>
      <c r="K223" s="10"/>
      <c r="L223" s="10"/>
      <c r="M223" s="10"/>
      <c r="N223" s="10"/>
      <c r="O223" s="13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3"/>
      <c r="J224" s="10"/>
      <c r="K224" s="10"/>
      <c r="L224" s="10"/>
      <c r="M224" s="10"/>
      <c r="N224" s="10"/>
      <c r="O224" s="13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3"/>
      <c r="J225" s="10"/>
      <c r="K225" s="10"/>
      <c r="L225" s="10"/>
      <c r="M225" s="10"/>
      <c r="N225" s="10"/>
      <c r="O225" s="13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3"/>
      <c r="J226" s="10"/>
      <c r="K226" s="10"/>
      <c r="L226" s="10"/>
      <c r="M226" s="10"/>
      <c r="N226" s="10"/>
      <c r="O226" s="13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3"/>
      <c r="J227" s="10"/>
      <c r="K227" s="10"/>
      <c r="L227" s="10"/>
      <c r="M227" s="10"/>
      <c r="N227" s="10"/>
      <c r="O227" s="13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3"/>
      <c r="J228" s="10"/>
      <c r="K228" s="10"/>
      <c r="L228" s="10"/>
      <c r="M228" s="10"/>
      <c r="N228" s="10"/>
      <c r="O228" s="13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3"/>
      <c r="J229" s="10"/>
      <c r="K229" s="10"/>
      <c r="L229" s="10"/>
      <c r="M229" s="10"/>
      <c r="N229" s="10"/>
      <c r="O229" s="13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3"/>
      <c r="J230" s="10"/>
      <c r="K230" s="10"/>
      <c r="L230" s="10"/>
      <c r="M230" s="10"/>
      <c r="N230" s="10"/>
      <c r="O230" s="13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3"/>
      <c r="J231" s="10"/>
      <c r="K231" s="10"/>
      <c r="L231" s="10"/>
      <c r="M231" s="10"/>
      <c r="N231" s="10"/>
      <c r="O231" s="13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3"/>
      <c r="J232" s="10"/>
      <c r="K232" s="10"/>
      <c r="L232" s="10"/>
      <c r="M232" s="10"/>
      <c r="N232" s="10"/>
      <c r="O232" s="13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3"/>
      <c r="J233" s="10"/>
      <c r="K233" s="10"/>
      <c r="L233" s="10"/>
      <c r="M233" s="10"/>
      <c r="N233" s="10"/>
      <c r="O233" s="13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3"/>
      <c r="J234" s="10"/>
      <c r="K234" s="10"/>
      <c r="L234" s="10"/>
      <c r="M234" s="10"/>
      <c r="N234" s="10"/>
      <c r="O234" s="13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3"/>
      <c r="J235" s="10"/>
      <c r="K235" s="10"/>
      <c r="L235" s="10"/>
      <c r="M235" s="10"/>
      <c r="N235" s="10"/>
      <c r="O235" s="13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3"/>
      <c r="J236" s="10"/>
      <c r="K236" s="10"/>
      <c r="L236" s="10"/>
      <c r="M236" s="10"/>
      <c r="N236" s="10"/>
      <c r="O236" s="13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3"/>
      <c r="J237" s="10"/>
      <c r="K237" s="10"/>
      <c r="L237" s="10"/>
      <c r="M237" s="10"/>
      <c r="N237" s="10"/>
      <c r="O237" s="13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3"/>
      <c r="J238" s="10"/>
      <c r="K238" s="10"/>
      <c r="L238" s="10"/>
      <c r="M238" s="10"/>
      <c r="N238" s="10"/>
      <c r="O238" s="13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3"/>
      <c r="J239" s="10"/>
      <c r="K239" s="10"/>
      <c r="L239" s="10"/>
      <c r="M239" s="10"/>
      <c r="N239" s="10"/>
      <c r="O239" s="13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3"/>
      <c r="J240" s="10"/>
      <c r="K240" s="10"/>
      <c r="L240" s="10"/>
      <c r="M240" s="10"/>
      <c r="N240" s="10"/>
      <c r="O240" s="13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3"/>
      <c r="J241" s="10"/>
      <c r="K241" s="10"/>
      <c r="L241" s="10"/>
      <c r="M241" s="10"/>
      <c r="N241" s="10"/>
      <c r="O241" s="13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3"/>
      <c r="J242" s="10"/>
      <c r="K242" s="10"/>
      <c r="L242" s="10"/>
      <c r="M242" s="10"/>
      <c r="N242" s="10"/>
      <c r="O242" s="1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3"/>
      <c r="J243" s="10"/>
      <c r="K243" s="10"/>
      <c r="L243" s="10"/>
      <c r="M243" s="10"/>
      <c r="N243" s="10"/>
      <c r="O243" s="13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3"/>
      <c r="J244" s="10"/>
      <c r="K244" s="10"/>
      <c r="L244" s="10"/>
      <c r="M244" s="10"/>
      <c r="N244" s="10"/>
      <c r="O244" s="13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3"/>
      <c r="J245" s="10"/>
      <c r="K245" s="10"/>
      <c r="L245" s="10"/>
      <c r="M245" s="10"/>
      <c r="N245" s="10"/>
      <c r="O245" s="13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3"/>
      <c r="J246" s="10"/>
      <c r="K246" s="10"/>
      <c r="L246" s="10"/>
      <c r="M246" s="10"/>
      <c r="N246" s="10"/>
      <c r="O246" s="13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3"/>
      <c r="J247" s="10"/>
      <c r="K247" s="10"/>
      <c r="L247" s="10"/>
      <c r="M247" s="10"/>
      <c r="N247" s="10"/>
      <c r="O247" s="13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3"/>
      <c r="J248" s="10"/>
      <c r="K248" s="10"/>
      <c r="L248" s="10"/>
      <c r="M248" s="10"/>
      <c r="N248" s="10"/>
      <c r="O248" s="13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3"/>
      <c r="J249" s="10"/>
      <c r="K249" s="10"/>
      <c r="L249" s="10"/>
      <c r="M249" s="10"/>
      <c r="N249" s="10"/>
      <c r="O249" s="13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3"/>
      <c r="J250" s="10"/>
      <c r="K250" s="10"/>
      <c r="L250" s="10"/>
      <c r="M250" s="10"/>
      <c r="N250" s="10"/>
      <c r="O250" s="13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3"/>
      <c r="J251" s="10"/>
      <c r="K251" s="10"/>
      <c r="L251" s="10"/>
      <c r="M251" s="10"/>
      <c r="N251" s="10"/>
      <c r="O251" s="13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3"/>
      <c r="J252" s="10"/>
      <c r="K252" s="10"/>
      <c r="L252" s="10"/>
      <c r="M252" s="10"/>
      <c r="N252" s="10"/>
      <c r="O252" s="13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3"/>
      <c r="J253" s="10"/>
      <c r="K253" s="10"/>
      <c r="L253" s="10"/>
      <c r="M253" s="10"/>
      <c r="N253" s="10"/>
      <c r="O253" s="13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3"/>
      <c r="J254" s="10"/>
      <c r="K254" s="10"/>
      <c r="L254" s="10"/>
      <c r="M254" s="10"/>
      <c r="N254" s="10"/>
      <c r="O254" s="13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3"/>
      <c r="J255" s="10"/>
      <c r="K255" s="10"/>
      <c r="L255" s="10"/>
      <c r="M255" s="10"/>
      <c r="N255" s="10"/>
      <c r="O255" s="13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3"/>
      <c r="J256" s="10"/>
      <c r="K256" s="10"/>
      <c r="L256" s="10"/>
      <c r="M256" s="10"/>
      <c r="N256" s="10"/>
      <c r="O256" s="13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3"/>
      <c r="J257" s="10"/>
      <c r="K257" s="10"/>
      <c r="L257" s="10"/>
      <c r="M257" s="10"/>
      <c r="N257" s="10"/>
      <c r="O257" s="13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3"/>
      <c r="J258" s="10"/>
      <c r="K258" s="10"/>
      <c r="L258" s="10"/>
      <c r="M258" s="10"/>
      <c r="N258" s="10"/>
      <c r="O258" s="13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3"/>
      <c r="J259" s="10"/>
      <c r="K259" s="10"/>
      <c r="L259" s="10"/>
      <c r="M259" s="10"/>
      <c r="N259" s="10"/>
      <c r="O259" s="13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3"/>
      <c r="J260" s="10"/>
      <c r="K260" s="10"/>
      <c r="L260" s="10"/>
      <c r="M260" s="10"/>
      <c r="N260" s="10"/>
      <c r="O260" s="13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3"/>
      <c r="J261" s="10"/>
      <c r="K261" s="10"/>
      <c r="L261" s="10"/>
      <c r="M261" s="10"/>
      <c r="N261" s="10"/>
      <c r="O261" s="13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3"/>
      <c r="J262" s="10"/>
      <c r="K262" s="10"/>
      <c r="L262" s="10"/>
      <c r="M262" s="10"/>
      <c r="N262" s="10"/>
      <c r="O262" s="13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3"/>
      <c r="J263" s="10"/>
      <c r="K263" s="10"/>
      <c r="L263" s="10"/>
      <c r="M263" s="10"/>
      <c r="N263" s="10"/>
      <c r="O263" s="13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3"/>
      <c r="J264" s="10"/>
      <c r="K264" s="10"/>
      <c r="L264" s="10"/>
      <c r="M264" s="10"/>
      <c r="N264" s="10"/>
      <c r="O264" s="13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3"/>
      <c r="J265" s="10"/>
      <c r="K265" s="10"/>
      <c r="L265" s="10"/>
      <c r="M265" s="10"/>
      <c r="N265" s="10"/>
      <c r="O265" s="13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3"/>
      <c r="J266" s="10"/>
      <c r="K266" s="10"/>
      <c r="L266" s="10"/>
      <c r="M266" s="10"/>
      <c r="N266" s="10"/>
      <c r="O266" s="13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3"/>
      <c r="J267" s="10"/>
      <c r="K267" s="10"/>
      <c r="L267" s="10"/>
      <c r="M267" s="10"/>
      <c r="N267" s="10"/>
      <c r="O267" s="13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3"/>
      <c r="J268" s="10"/>
      <c r="K268" s="10"/>
      <c r="L268" s="10"/>
      <c r="M268" s="10"/>
      <c r="N268" s="10"/>
      <c r="O268" s="13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3"/>
      <c r="J269" s="10"/>
      <c r="K269" s="10"/>
      <c r="L269" s="10"/>
      <c r="M269" s="10"/>
      <c r="N269" s="10"/>
      <c r="O269" s="13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3"/>
      <c r="J270" s="10"/>
      <c r="K270" s="10"/>
      <c r="L270" s="10"/>
      <c r="M270" s="10"/>
      <c r="N270" s="10"/>
      <c r="O270" s="13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3"/>
      <c r="J271" s="10"/>
      <c r="K271" s="10"/>
      <c r="L271" s="10"/>
      <c r="M271" s="10"/>
      <c r="N271" s="10"/>
      <c r="O271" s="13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3"/>
      <c r="J272" s="10"/>
      <c r="K272" s="10"/>
      <c r="L272" s="10"/>
      <c r="M272" s="10"/>
      <c r="N272" s="10"/>
      <c r="O272" s="13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3"/>
      <c r="J273" s="10"/>
      <c r="K273" s="10"/>
      <c r="L273" s="10"/>
      <c r="M273" s="10"/>
      <c r="N273" s="10"/>
      <c r="O273" s="13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3"/>
      <c r="J274" s="10"/>
      <c r="K274" s="10"/>
      <c r="L274" s="10"/>
      <c r="M274" s="10"/>
      <c r="N274" s="10"/>
      <c r="O274" s="13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3"/>
      <c r="J275" s="10"/>
      <c r="K275" s="10"/>
      <c r="L275" s="10"/>
      <c r="M275" s="10"/>
      <c r="N275" s="10"/>
      <c r="O275" s="13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3"/>
      <c r="J276" s="10"/>
      <c r="K276" s="10"/>
      <c r="L276" s="10"/>
      <c r="M276" s="10"/>
      <c r="N276" s="10"/>
      <c r="O276" s="13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3"/>
      <c r="J277" s="10"/>
      <c r="K277" s="10"/>
      <c r="L277" s="10"/>
      <c r="M277" s="10"/>
      <c r="N277" s="10"/>
      <c r="O277" s="13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3"/>
      <c r="J278" s="10"/>
      <c r="K278" s="10"/>
      <c r="L278" s="10"/>
      <c r="M278" s="10"/>
      <c r="N278" s="10"/>
      <c r="O278" s="13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3"/>
      <c r="J279" s="10"/>
      <c r="K279" s="10"/>
      <c r="L279" s="10"/>
      <c r="M279" s="10"/>
      <c r="N279" s="10"/>
      <c r="O279" s="13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3"/>
      <c r="J280" s="10"/>
      <c r="K280" s="10"/>
      <c r="L280" s="10"/>
      <c r="M280" s="10"/>
      <c r="N280" s="10"/>
      <c r="O280" s="13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3"/>
      <c r="J281" s="10"/>
      <c r="K281" s="10"/>
      <c r="L281" s="10"/>
      <c r="M281" s="10"/>
      <c r="N281" s="10"/>
      <c r="O281" s="13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3"/>
      <c r="J282" s="10"/>
      <c r="K282" s="10"/>
      <c r="L282" s="10"/>
      <c r="M282" s="10"/>
      <c r="N282" s="10"/>
      <c r="O282" s="13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3"/>
      <c r="J283" s="10"/>
      <c r="K283" s="10"/>
      <c r="L283" s="10"/>
      <c r="M283" s="10"/>
      <c r="N283" s="10"/>
      <c r="O283" s="13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3"/>
      <c r="J284" s="10"/>
      <c r="K284" s="10"/>
      <c r="L284" s="10"/>
      <c r="M284" s="10"/>
      <c r="N284" s="10"/>
      <c r="O284" s="13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3"/>
      <c r="J285" s="10"/>
      <c r="K285" s="10"/>
      <c r="L285" s="10"/>
      <c r="M285" s="10"/>
      <c r="N285" s="10"/>
      <c r="O285" s="13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3"/>
      <c r="J286" s="10"/>
      <c r="K286" s="10"/>
      <c r="L286" s="10"/>
      <c r="M286" s="10"/>
      <c r="N286" s="10"/>
      <c r="O286" s="13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3"/>
      <c r="J287" s="10"/>
      <c r="K287" s="10"/>
      <c r="L287" s="10"/>
      <c r="M287" s="10"/>
      <c r="N287" s="10"/>
      <c r="O287" s="13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3"/>
      <c r="J288" s="10"/>
      <c r="K288" s="10"/>
      <c r="L288" s="10"/>
      <c r="M288" s="10"/>
      <c r="N288" s="10"/>
      <c r="O288" s="13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3"/>
      <c r="J289" s="10"/>
      <c r="K289" s="10"/>
      <c r="L289" s="10"/>
      <c r="M289" s="10"/>
      <c r="N289" s="10"/>
      <c r="O289" s="13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3"/>
      <c r="J290" s="10"/>
      <c r="K290" s="10"/>
      <c r="L290" s="10"/>
      <c r="M290" s="10"/>
      <c r="N290" s="10"/>
      <c r="O290" s="13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3"/>
      <c r="J291" s="10"/>
      <c r="K291" s="10"/>
      <c r="L291" s="10"/>
      <c r="M291" s="10"/>
      <c r="N291" s="10"/>
      <c r="O291" s="13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3"/>
      <c r="J292" s="10"/>
      <c r="K292" s="10"/>
      <c r="L292" s="10"/>
      <c r="M292" s="10"/>
      <c r="N292" s="10"/>
      <c r="O292" s="13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3"/>
      <c r="J293" s="10"/>
      <c r="K293" s="10"/>
      <c r="L293" s="10"/>
      <c r="M293" s="10"/>
      <c r="N293" s="10"/>
      <c r="O293" s="13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3"/>
      <c r="J294" s="10"/>
      <c r="K294" s="10"/>
      <c r="L294" s="10"/>
      <c r="M294" s="10"/>
      <c r="N294" s="10"/>
      <c r="O294" s="13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3"/>
      <c r="J295" s="10"/>
      <c r="K295" s="10"/>
      <c r="L295" s="10"/>
      <c r="M295" s="10"/>
      <c r="N295" s="10"/>
      <c r="O295" s="13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3"/>
      <c r="J296" s="10"/>
      <c r="K296" s="10"/>
      <c r="L296" s="10"/>
      <c r="M296" s="10"/>
      <c r="N296" s="10"/>
      <c r="O296" s="13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3"/>
      <c r="J297" s="10"/>
      <c r="K297" s="10"/>
      <c r="L297" s="10"/>
      <c r="M297" s="10"/>
      <c r="N297" s="10"/>
      <c r="O297" s="13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3"/>
      <c r="J298" s="10"/>
      <c r="K298" s="10"/>
      <c r="L298" s="10"/>
      <c r="M298" s="10"/>
      <c r="N298" s="10"/>
      <c r="O298" s="13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3"/>
      <c r="J299" s="10"/>
      <c r="K299" s="10"/>
      <c r="L299" s="10"/>
      <c r="M299" s="10"/>
      <c r="N299" s="10"/>
      <c r="O299" s="13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3"/>
      <c r="J300" s="10"/>
      <c r="K300" s="10"/>
      <c r="L300" s="10"/>
      <c r="M300" s="10"/>
      <c r="N300" s="10"/>
      <c r="O300" s="13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3"/>
      <c r="J301" s="10"/>
      <c r="K301" s="10"/>
      <c r="L301" s="10"/>
      <c r="M301" s="10"/>
      <c r="N301" s="10"/>
      <c r="O301" s="13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3"/>
      <c r="J302" s="10"/>
      <c r="K302" s="10"/>
      <c r="L302" s="10"/>
      <c r="M302" s="10"/>
      <c r="N302" s="10"/>
      <c r="O302" s="13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3"/>
      <c r="J303" s="10"/>
      <c r="K303" s="10"/>
      <c r="L303" s="10"/>
      <c r="M303" s="10"/>
      <c r="N303" s="10"/>
      <c r="O303" s="13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3"/>
      <c r="J304" s="10"/>
      <c r="K304" s="10"/>
      <c r="L304" s="10"/>
      <c r="M304" s="10"/>
      <c r="N304" s="10"/>
      <c r="O304" s="13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3"/>
      <c r="J305" s="10"/>
      <c r="K305" s="10"/>
      <c r="L305" s="10"/>
      <c r="M305" s="10"/>
      <c r="N305" s="10"/>
      <c r="O305" s="13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3"/>
      <c r="J306" s="10"/>
      <c r="K306" s="10"/>
      <c r="L306" s="10"/>
      <c r="M306" s="10"/>
      <c r="N306" s="10"/>
      <c r="O306" s="13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3"/>
      <c r="J307" s="10"/>
      <c r="K307" s="10"/>
      <c r="L307" s="10"/>
      <c r="M307" s="10"/>
      <c r="N307" s="10"/>
      <c r="O307" s="13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3"/>
      <c r="J308" s="10"/>
      <c r="K308" s="10"/>
      <c r="L308" s="10"/>
      <c r="M308" s="10"/>
      <c r="N308" s="10"/>
      <c r="O308" s="13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3"/>
      <c r="J309" s="10"/>
      <c r="K309" s="10"/>
      <c r="L309" s="10"/>
      <c r="M309" s="10"/>
      <c r="N309" s="10"/>
      <c r="O309" s="13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3"/>
      <c r="J310" s="10"/>
      <c r="K310" s="10"/>
      <c r="L310" s="10"/>
      <c r="M310" s="10"/>
      <c r="N310" s="10"/>
      <c r="O310" s="13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3"/>
      <c r="J311" s="10"/>
      <c r="K311" s="10"/>
      <c r="L311" s="10"/>
      <c r="M311" s="10"/>
      <c r="N311" s="10"/>
      <c r="O311" s="13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3"/>
      <c r="J312" s="10"/>
      <c r="K312" s="10"/>
      <c r="L312" s="10"/>
      <c r="M312" s="10"/>
      <c r="N312" s="10"/>
      <c r="O312" s="13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3"/>
      <c r="J313" s="10"/>
      <c r="K313" s="10"/>
      <c r="L313" s="10"/>
      <c r="M313" s="10"/>
      <c r="N313" s="10"/>
      <c r="O313" s="13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3"/>
      <c r="J314" s="10"/>
      <c r="K314" s="10"/>
      <c r="L314" s="10"/>
      <c r="M314" s="10"/>
      <c r="N314" s="10"/>
      <c r="O314" s="13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3"/>
      <c r="J315" s="10"/>
      <c r="K315" s="10"/>
      <c r="L315" s="10"/>
      <c r="M315" s="10"/>
      <c r="N315" s="10"/>
      <c r="O315" s="13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3"/>
      <c r="J316" s="10"/>
      <c r="K316" s="10"/>
      <c r="L316" s="10"/>
      <c r="M316" s="10"/>
      <c r="N316" s="10"/>
      <c r="O316" s="13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3"/>
      <c r="J317" s="10"/>
      <c r="K317" s="10"/>
      <c r="L317" s="10"/>
      <c r="M317" s="10"/>
      <c r="N317" s="10"/>
      <c r="O317" s="13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3"/>
      <c r="J318" s="10"/>
      <c r="K318" s="10"/>
      <c r="L318" s="10"/>
      <c r="M318" s="10"/>
      <c r="N318" s="10"/>
      <c r="O318" s="13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3"/>
      <c r="J319" s="10"/>
      <c r="K319" s="10"/>
      <c r="L319" s="10"/>
      <c r="M319" s="10"/>
      <c r="N319" s="10"/>
      <c r="O319" s="13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3"/>
      <c r="J320" s="10"/>
      <c r="K320" s="10"/>
      <c r="L320" s="10"/>
      <c r="M320" s="10"/>
      <c r="N320" s="10"/>
      <c r="O320" s="13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3"/>
      <c r="J321" s="10"/>
      <c r="K321" s="10"/>
      <c r="L321" s="10"/>
      <c r="M321" s="10"/>
      <c r="N321" s="10"/>
      <c r="O321" s="13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3"/>
      <c r="J322" s="10"/>
      <c r="K322" s="10"/>
      <c r="L322" s="10"/>
      <c r="M322" s="10"/>
      <c r="N322" s="10"/>
      <c r="O322" s="13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3"/>
      <c r="J323" s="10"/>
      <c r="K323" s="10"/>
      <c r="L323" s="10"/>
      <c r="M323" s="10"/>
      <c r="N323" s="10"/>
      <c r="O323" s="13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3"/>
      <c r="J324" s="10"/>
      <c r="K324" s="10"/>
      <c r="L324" s="10"/>
      <c r="M324" s="10"/>
      <c r="N324" s="10"/>
      <c r="O324" s="13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3"/>
      <c r="J325" s="10"/>
      <c r="K325" s="10"/>
      <c r="L325" s="10"/>
      <c r="M325" s="10"/>
      <c r="N325" s="10"/>
      <c r="O325" s="13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3"/>
      <c r="J326" s="10"/>
      <c r="K326" s="10"/>
      <c r="L326" s="10"/>
      <c r="M326" s="10"/>
      <c r="N326" s="10"/>
      <c r="O326" s="13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3"/>
      <c r="J327" s="10"/>
      <c r="K327" s="10"/>
      <c r="L327" s="10"/>
      <c r="M327" s="10"/>
      <c r="N327" s="10"/>
      <c r="O327" s="13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3"/>
      <c r="J328" s="10"/>
      <c r="K328" s="10"/>
      <c r="L328" s="10"/>
      <c r="M328" s="10"/>
      <c r="N328" s="10"/>
      <c r="O328" s="13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3"/>
      <c r="J329" s="10"/>
      <c r="K329" s="10"/>
      <c r="L329" s="10"/>
      <c r="M329" s="10"/>
      <c r="N329" s="10"/>
      <c r="O329" s="13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3"/>
      <c r="J330" s="10"/>
      <c r="K330" s="10"/>
      <c r="L330" s="10"/>
      <c r="M330" s="10"/>
      <c r="N330" s="10"/>
      <c r="O330" s="13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3"/>
      <c r="J331" s="10"/>
      <c r="K331" s="10"/>
      <c r="L331" s="10"/>
      <c r="M331" s="10"/>
      <c r="N331" s="10"/>
      <c r="O331" s="13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3"/>
      <c r="J332" s="10"/>
      <c r="K332" s="10"/>
      <c r="L332" s="10"/>
      <c r="M332" s="10"/>
      <c r="N332" s="10"/>
      <c r="O332" s="13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3"/>
      <c r="J333" s="10"/>
      <c r="K333" s="10"/>
      <c r="L333" s="10"/>
      <c r="M333" s="10"/>
      <c r="N333" s="10"/>
      <c r="O333" s="13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3"/>
      <c r="J334" s="10"/>
      <c r="K334" s="10"/>
      <c r="L334" s="10"/>
      <c r="M334" s="10"/>
      <c r="N334" s="10"/>
      <c r="O334" s="13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3"/>
      <c r="J335" s="10"/>
      <c r="K335" s="10"/>
      <c r="L335" s="10"/>
      <c r="M335" s="10"/>
      <c r="N335" s="10"/>
      <c r="O335" s="13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3"/>
      <c r="J336" s="10"/>
      <c r="K336" s="10"/>
      <c r="L336" s="10"/>
      <c r="M336" s="10"/>
      <c r="N336" s="10"/>
      <c r="O336" s="13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3"/>
      <c r="J337" s="10"/>
      <c r="K337" s="10"/>
      <c r="L337" s="10"/>
      <c r="M337" s="10"/>
      <c r="N337" s="10"/>
      <c r="O337" s="13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3"/>
      <c r="J338" s="10"/>
      <c r="K338" s="10"/>
      <c r="L338" s="10"/>
      <c r="M338" s="10"/>
      <c r="N338" s="10"/>
      <c r="O338" s="13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3"/>
      <c r="J339" s="10"/>
      <c r="K339" s="10"/>
      <c r="L339" s="10"/>
      <c r="M339" s="10"/>
      <c r="N339" s="10"/>
      <c r="O339" s="13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3"/>
      <c r="J340" s="10"/>
      <c r="K340" s="10"/>
      <c r="L340" s="10"/>
      <c r="M340" s="10"/>
      <c r="N340" s="10"/>
      <c r="O340" s="13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3"/>
      <c r="J341" s="10"/>
      <c r="K341" s="10"/>
      <c r="L341" s="10"/>
      <c r="M341" s="10"/>
      <c r="N341" s="10"/>
      <c r="O341" s="13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3"/>
      <c r="J342" s="10"/>
      <c r="K342" s="10"/>
      <c r="L342" s="10"/>
      <c r="M342" s="10"/>
      <c r="N342" s="10"/>
      <c r="O342" s="13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3"/>
      <c r="J343" s="10"/>
      <c r="K343" s="10"/>
      <c r="L343" s="10"/>
      <c r="M343" s="10"/>
      <c r="N343" s="10"/>
      <c r="O343" s="13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3"/>
      <c r="J344" s="10"/>
      <c r="K344" s="10"/>
      <c r="L344" s="10"/>
      <c r="M344" s="10"/>
      <c r="N344" s="10"/>
      <c r="O344" s="13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3"/>
      <c r="J345" s="10"/>
      <c r="K345" s="10"/>
      <c r="L345" s="10"/>
      <c r="M345" s="10"/>
      <c r="N345" s="10"/>
      <c r="O345" s="13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3"/>
      <c r="J346" s="10"/>
      <c r="K346" s="10"/>
      <c r="L346" s="10"/>
      <c r="M346" s="10"/>
      <c r="N346" s="10"/>
      <c r="O346" s="13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3"/>
      <c r="J347" s="10"/>
      <c r="K347" s="10"/>
      <c r="L347" s="10"/>
      <c r="M347" s="10"/>
      <c r="N347" s="10"/>
      <c r="O347" s="13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3"/>
      <c r="J348" s="10"/>
      <c r="K348" s="10"/>
      <c r="L348" s="10"/>
      <c r="M348" s="10"/>
      <c r="N348" s="10"/>
      <c r="O348" s="13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3"/>
      <c r="J349" s="10"/>
      <c r="K349" s="10"/>
      <c r="L349" s="10"/>
      <c r="M349" s="10"/>
      <c r="N349" s="10"/>
      <c r="O349" s="13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3"/>
      <c r="J350" s="10"/>
      <c r="K350" s="10"/>
      <c r="L350" s="10"/>
      <c r="M350" s="10"/>
      <c r="N350" s="10"/>
      <c r="O350" s="13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3"/>
      <c r="J351" s="10"/>
      <c r="K351" s="10"/>
      <c r="L351" s="10"/>
      <c r="M351" s="10"/>
      <c r="N351" s="10"/>
      <c r="O351" s="13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3"/>
      <c r="J352" s="10"/>
      <c r="K352" s="10"/>
      <c r="L352" s="10"/>
      <c r="M352" s="10"/>
      <c r="N352" s="10"/>
      <c r="O352" s="13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3"/>
      <c r="J353" s="10"/>
      <c r="K353" s="10"/>
      <c r="L353" s="10"/>
      <c r="M353" s="10"/>
      <c r="N353" s="10"/>
      <c r="O353" s="13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3"/>
      <c r="J354" s="10"/>
      <c r="K354" s="10"/>
      <c r="L354" s="10"/>
      <c r="M354" s="10"/>
      <c r="N354" s="10"/>
      <c r="O354" s="13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3"/>
      <c r="J355" s="10"/>
      <c r="K355" s="10"/>
      <c r="L355" s="10"/>
      <c r="M355" s="10"/>
      <c r="N355" s="10"/>
      <c r="O355" s="13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3"/>
      <c r="J356" s="10"/>
      <c r="K356" s="10"/>
      <c r="L356" s="10"/>
      <c r="M356" s="10"/>
      <c r="N356" s="10"/>
      <c r="O356" s="13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3"/>
      <c r="J357" s="10"/>
      <c r="K357" s="10"/>
      <c r="L357" s="10"/>
      <c r="M357" s="10"/>
      <c r="N357" s="10"/>
      <c r="O357" s="13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3"/>
      <c r="J358" s="10"/>
      <c r="K358" s="10"/>
      <c r="L358" s="10"/>
      <c r="M358" s="10"/>
      <c r="N358" s="10"/>
      <c r="O358" s="13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3"/>
      <c r="J359" s="10"/>
      <c r="K359" s="10"/>
      <c r="L359" s="10"/>
      <c r="M359" s="10"/>
      <c r="N359" s="10"/>
      <c r="O359" s="13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3"/>
      <c r="J360" s="10"/>
      <c r="K360" s="10"/>
      <c r="L360" s="10"/>
      <c r="M360" s="10"/>
      <c r="N360" s="10"/>
      <c r="O360" s="13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3"/>
      <c r="J361" s="10"/>
      <c r="K361" s="10"/>
      <c r="L361" s="10"/>
      <c r="M361" s="10"/>
      <c r="N361" s="10"/>
      <c r="O361" s="13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3"/>
      <c r="J362" s="10"/>
      <c r="K362" s="10"/>
      <c r="L362" s="10"/>
      <c r="M362" s="10"/>
      <c r="N362" s="10"/>
      <c r="O362" s="13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3"/>
      <c r="J363" s="10"/>
      <c r="K363" s="10"/>
      <c r="L363" s="10"/>
      <c r="M363" s="10"/>
      <c r="N363" s="10"/>
      <c r="O363" s="13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3"/>
      <c r="J364" s="10"/>
      <c r="K364" s="10"/>
      <c r="L364" s="10"/>
      <c r="M364" s="10"/>
      <c r="N364" s="10"/>
      <c r="O364" s="13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3"/>
      <c r="J365" s="10"/>
      <c r="K365" s="10"/>
      <c r="L365" s="10"/>
      <c r="M365" s="10"/>
      <c r="N365" s="10"/>
      <c r="O365" s="13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3"/>
      <c r="J366" s="10"/>
      <c r="K366" s="10"/>
      <c r="L366" s="10"/>
      <c r="M366" s="10"/>
      <c r="N366" s="10"/>
      <c r="O366" s="13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3"/>
      <c r="J367" s="10"/>
      <c r="K367" s="10"/>
      <c r="L367" s="10"/>
      <c r="M367" s="10"/>
      <c r="N367" s="10"/>
      <c r="O367" s="13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3"/>
      <c r="J368" s="10"/>
      <c r="K368" s="10"/>
      <c r="L368" s="10"/>
      <c r="M368" s="10"/>
      <c r="N368" s="10"/>
      <c r="O368" s="13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3"/>
      <c r="J369" s="10"/>
      <c r="K369" s="10"/>
      <c r="L369" s="10"/>
      <c r="M369" s="10"/>
      <c r="N369" s="10"/>
      <c r="O369" s="13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3"/>
      <c r="J370" s="10"/>
      <c r="K370" s="10"/>
      <c r="L370" s="10"/>
      <c r="M370" s="10"/>
      <c r="N370" s="10"/>
      <c r="O370" s="13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3"/>
      <c r="J371" s="10"/>
      <c r="K371" s="10"/>
      <c r="L371" s="10"/>
      <c r="M371" s="10"/>
      <c r="N371" s="10"/>
      <c r="O371" s="13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3"/>
      <c r="J372" s="10"/>
      <c r="K372" s="10"/>
      <c r="L372" s="10"/>
      <c r="M372" s="10"/>
      <c r="N372" s="10"/>
      <c r="O372" s="13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3"/>
      <c r="J373" s="10"/>
      <c r="K373" s="10"/>
      <c r="L373" s="10"/>
      <c r="M373" s="10"/>
      <c r="N373" s="10"/>
      <c r="O373" s="13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3"/>
      <c r="J374" s="10"/>
      <c r="K374" s="10"/>
      <c r="L374" s="10"/>
      <c r="M374" s="10"/>
      <c r="N374" s="10"/>
      <c r="O374" s="13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3"/>
      <c r="J375" s="10"/>
      <c r="K375" s="10"/>
      <c r="L375" s="10"/>
      <c r="M375" s="10"/>
      <c r="N375" s="10"/>
      <c r="O375" s="13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3"/>
      <c r="J376" s="10"/>
      <c r="K376" s="10"/>
      <c r="L376" s="10"/>
      <c r="M376" s="10"/>
      <c r="N376" s="10"/>
      <c r="O376" s="13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3"/>
      <c r="J377" s="10"/>
      <c r="K377" s="10"/>
      <c r="L377" s="10"/>
      <c r="M377" s="10"/>
      <c r="N377" s="10"/>
      <c r="O377" s="13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3"/>
      <c r="J378" s="10"/>
      <c r="K378" s="10"/>
      <c r="L378" s="10"/>
      <c r="M378" s="10"/>
      <c r="N378" s="10"/>
      <c r="O378" s="13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3"/>
      <c r="J379" s="10"/>
      <c r="K379" s="10"/>
      <c r="L379" s="10"/>
      <c r="M379" s="10"/>
      <c r="N379" s="10"/>
      <c r="O379" s="13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3"/>
      <c r="J380" s="10"/>
      <c r="K380" s="10"/>
      <c r="L380" s="10"/>
      <c r="M380" s="10"/>
      <c r="N380" s="10"/>
      <c r="O380" s="13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3"/>
      <c r="J381" s="10"/>
      <c r="K381" s="10"/>
      <c r="L381" s="10"/>
      <c r="M381" s="10"/>
      <c r="N381" s="10"/>
      <c r="O381" s="13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3"/>
      <c r="J382" s="10"/>
      <c r="K382" s="10"/>
      <c r="L382" s="10"/>
      <c r="M382" s="10"/>
      <c r="N382" s="10"/>
      <c r="O382" s="13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3"/>
      <c r="J383" s="10"/>
      <c r="K383" s="10"/>
      <c r="L383" s="10"/>
      <c r="M383" s="10"/>
      <c r="N383" s="10"/>
      <c r="O383" s="13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3"/>
      <c r="J384" s="10"/>
      <c r="K384" s="10"/>
      <c r="L384" s="10"/>
      <c r="M384" s="10"/>
      <c r="N384" s="10"/>
      <c r="O384" s="13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3"/>
      <c r="J385" s="10"/>
      <c r="K385" s="10"/>
      <c r="L385" s="10"/>
      <c r="M385" s="10"/>
      <c r="N385" s="10"/>
      <c r="O385" s="13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3"/>
      <c r="J386" s="10"/>
      <c r="K386" s="10"/>
      <c r="L386" s="10"/>
      <c r="M386" s="10"/>
      <c r="N386" s="10"/>
      <c r="O386" s="13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3"/>
      <c r="J387" s="10"/>
      <c r="K387" s="10"/>
      <c r="L387" s="10"/>
      <c r="M387" s="10"/>
      <c r="N387" s="10"/>
      <c r="O387" s="13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3"/>
      <c r="J388" s="10"/>
      <c r="K388" s="10"/>
      <c r="L388" s="10"/>
      <c r="M388" s="10"/>
      <c r="N388" s="10"/>
      <c r="O388" s="13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3"/>
      <c r="J389" s="10"/>
      <c r="K389" s="10"/>
      <c r="L389" s="10"/>
      <c r="M389" s="10"/>
      <c r="N389" s="10"/>
      <c r="O389" s="13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3"/>
      <c r="J390" s="10"/>
      <c r="K390" s="10"/>
      <c r="L390" s="10"/>
      <c r="M390" s="10"/>
      <c r="N390" s="10"/>
      <c r="O390" s="13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3"/>
      <c r="J391" s="10"/>
      <c r="K391" s="10"/>
      <c r="L391" s="10"/>
      <c r="M391" s="10"/>
      <c r="N391" s="10"/>
      <c r="O391" s="13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3"/>
      <c r="J392" s="10"/>
      <c r="K392" s="10"/>
      <c r="L392" s="10"/>
      <c r="M392" s="10"/>
      <c r="N392" s="10"/>
      <c r="O392" s="13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3"/>
      <c r="J393" s="10"/>
      <c r="K393" s="10"/>
      <c r="L393" s="10"/>
      <c r="M393" s="10"/>
      <c r="N393" s="10"/>
      <c r="O393" s="13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3"/>
      <c r="J394" s="10"/>
      <c r="K394" s="10"/>
      <c r="L394" s="10"/>
      <c r="M394" s="10"/>
      <c r="N394" s="10"/>
      <c r="O394" s="13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3"/>
      <c r="J395" s="10"/>
      <c r="K395" s="10"/>
      <c r="L395" s="10"/>
      <c r="M395" s="10"/>
      <c r="N395" s="10"/>
      <c r="O395" s="13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3"/>
      <c r="J396" s="10"/>
      <c r="K396" s="10"/>
      <c r="L396" s="10"/>
      <c r="M396" s="10"/>
      <c r="N396" s="10"/>
      <c r="O396" s="13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3"/>
      <c r="J397" s="10"/>
      <c r="K397" s="10"/>
      <c r="L397" s="10"/>
      <c r="M397" s="10"/>
      <c r="N397" s="10"/>
      <c r="O397" s="13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3"/>
      <c r="J398" s="10"/>
      <c r="K398" s="10"/>
      <c r="L398" s="10"/>
      <c r="M398" s="10"/>
      <c r="N398" s="10"/>
      <c r="O398" s="13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3"/>
      <c r="J399" s="10"/>
      <c r="K399" s="10"/>
      <c r="L399" s="10"/>
      <c r="M399" s="10"/>
      <c r="N399" s="10"/>
      <c r="O399" s="13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3"/>
      <c r="J400" s="10"/>
      <c r="K400" s="10"/>
      <c r="L400" s="10"/>
      <c r="M400" s="10"/>
      <c r="N400" s="10"/>
      <c r="O400" s="13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3"/>
      <c r="J401" s="10"/>
      <c r="K401" s="10"/>
      <c r="L401" s="10"/>
      <c r="M401" s="10"/>
      <c r="N401" s="10"/>
      <c r="O401" s="13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3"/>
      <c r="J402" s="10"/>
      <c r="K402" s="10"/>
      <c r="L402" s="10"/>
      <c r="M402" s="10"/>
      <c r="N402" s="10"/>
      <c r="O402" s="13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3"/>
      <c r="J403" s="10"/>
      <c r="K403" s="10"/>
      <c r="L403" s="10"/>
      <c r="M403" s="10"/>
      <c r="N403" s="10"/>
      <c r="O403" s="13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3"/>
      <c r="J404" s="10"/>
      <c r="K404" s="10"/>
      <c r="L404" s="10"/>
      <c r="M404" s="10"/>
      <c r="N404" s="10"/>
      <c r="O404" s="13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3"/>
      <c r="J405" s="10"/>
      <c r="K405" s="10"/>
      <c r="L405" s="10"/>
      <c r="M405" s="10"/>
      <c r="N405" s="10"/>
      <c r="O405" s="13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3"/>
      <c r="J406" s="10"/>
      <c r="K406" s="10"/>
      <c r="L406" s="10"/>
      <c r="M406" s="10"/>
      <c r="N406" s="10"/>
      <c r="O406" s="13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3"/>
      <c r="J407" s="10"/>
      <c r="K407" s="10"/>
      <c r="L407" s="10"/>
      <c r="M407" s="10"/>
      <c r="N407" s="10"/>
      <c r="O407" s="13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3"/>
      <c r="J408" s="10"/>
      <c r="K408" s="10"/>
      <c r="L408" s="10"/>
      <c r="M408" s="10"/>
      <c r="N408" s="10"/>
      <c r="O408" s="13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3"/>
      <c r="J409" s="10"/>
      <c r="K409" s="10"/>
      <c r="L409" s="10"/>
      <c r="M409" s="10"/>
      <c r="N409" s="10"/>
      <c r="O409" s="13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3"/>
      <c r="J410" s="10"/>
      <c r="K410" s="10"/>
      <c r="L410" s="10"/>
      <c r="M410" s="10"/>
      <c r="N410" s="10"/>
      <c r="O410" s="13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3"/>
      <c r="J411" s="10"/>
      <c r="K411" s="10"/>
      <c r="L411" s="10"/>
      <c r="M411" s="10"/>
      <c r="N411" s="10"/>
      <c r="O411" s="13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3"/>
      <c r="J412" s="10"/>
      <c r="K412" s="10"/>
      <c r="L412" s="10"/>
      <c r="M412" s="10"/>
      <c r="N412" s="10"/>
      <c r="O412" s="13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3"/>
      <c r="J413" s="10"/>
      <c r="K413" s="10"/>
      <c r="L413" s="10"/>
      <c r="M413" s="10"/>
      <c r="N413" s="10"/>
      <c r="O413" s="13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3"/>
      <c r="J414" s="10"/>
      <c r="K414" s="10"/>
      <c r="L414" s="10"/>
      <c r="M414" s="10"/>
      <c r="N414" s="10"/>
      <c r="O414" s="13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3"/>
      <c r="J415" s="10"/>
      <c r="K415" s="10"/>
      <c r="L415" s="10"/>
      <c r="M415" s="10"/>
      <c r="N415" s="10"/>
      <c r="O415" s="13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3"/>
      <c r="J416" s="10"/>
      <c r="K416" s="10"/>
      <c r="L416" s="10"/>
      <c r="M416" s="10"/>
      <c r="N416" s="10"/>
      <c r="O416" s="13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3"/>
      <c r="J417" s="10"/>
      <c r="K417" s="10"/>
      <c r="L417" s="10"/>
      <c r="M417" s="10"/>
      <c r="N417" s="10"/>
      <c r="O417" s="13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3"/>
      <c r="J418" s="10"/>
      <c r="K418" s="10"/>
      <c r="L418" s="10"/>
      <c r="M418" s="10"/>
      <c r="N418" s="10"/>
      <c r="O418" s="13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3"/>
      <c r="J419" s="10"/>
      <c r="K419" s="10"/>
      <c r="L419" s="10"/>
      <c r="M419" s="10"/>
      <c r="N419" s="10"/>
      <c r="O419" s="13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3"/>
      <c r="J420" s="10"/>
      <c r="K420" s="10"/>
      <c r="L420" s="10"/>
      <c r="M420" s="10"/>
      <c r="N420" s="10"/>
      <c r="O420" s="13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3"/>
      <c r="J421" s="10"/>
      <c r="K421" s="10"/>
      <c r="L421" s="10"/>
      <c r="M421" s="10"/>
      <c r="N421" s="10"/>
      <c r="O421" s="13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3"/>
      <c r="J422" s="10"/>
      <c r="K422" s="10"/>
      <c r="L422" s="10"/>
      <c r="M422" s="10"/>
      <c r="N422" s="10"/>
      <c r="O422" s="13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3"/>
      <c r="J423" s="10"/>
      <c r="K423" s="10"/>
      <c r="L423" s="10"/>
      <c r="M423" s="10"/>
      <c r="N423" s="10"/>
      <c r="O423" s="13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3"/>
      <c r="J424" s="10"/>
      <c r="K424" s="10"/>
      <c r="L424" s="10"/>
      <c r="M424" s="10"/>
      <c r="N424" s="10"/>
      <c r="O424" s="13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3"/>
      <c r="J425" s="10"/>
      <c r="K425" s="10"/>
      <c r="L425" s="10"/>
      <c r="M425" s="10"/>
      <c r="N425" s="10"/>
      <c r="O425" s="13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3"/>
      <c r="J426" s="10"/>
      <c r="K426" s="10"/>
      <c r="L426" s="10"/>
      <c r="M426" s="10"/>
      <c r="N426" s="10"/>
      <c r="O426" s="13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3"/>
      <c r="J427" s="10"/>
      <c r="K427" s="10"/>
      <c r="L427" s="10"/>
      <c r="M427" s="10"/>
      <c r="N427" s="10"/>
      <c r="O427" s="13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3"/>
      <c r="J428" s="10"/>
      <c r="K428" s="10"/>
      <c r="L428" s="10"/>
      <c r="M428" s="10"/>
      <c r="N428" s="10"/>
      <c r="O428" s="13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3"/>
      <c r="J429" s="10"/>
      <c r="K429" s="10"/>
      <c r="L429" s="10"/>
      <c r="M429" s="10"/>
      <c r="N429" s="10"/>
      <c r="O429" s="13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3"/>
      <c r="J430" s="10"/>
      <c r="K430" s="10"/>
      <c r="L430" s="10"/>
      <c r="M430" s="10"/>
      <c r="N430" s="10"/>
      <c r="O430" s="13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3"/>
      <c r="J431" s="10"/>
      <c r="K431" s="10"/>
      <c r="L431" s="10"/>
      <c r="M431" s="10"/>
      <c r="N431" s="10"/>
      <c r="O431" s="13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3"/>
      <c r="J432" s="10"/>
      <c r="K432" s="10"/>
      <c r="L432" s="10"/>
      <c r="M432" s="10"/>
      <c r="N432" s="10"/>
      <c r="O432" s="13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3"/>
      <c r="J433" s="10"/>
      <c r="K433" s="10"/>
      <c r="L433" s="10"/>
      <c r="M433" s="10"/>
      <c r="N433" s="10"/>
      <c r="O433" s="13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3"/>
      <c r="J434" s="10"/>
      <c r="K434" s="10"/>
      <c r="L434" s="10"/>
      <c r="M434" s="10"/>
      <c r="N434" s="10"/>
      <c r="O434" s="13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3"/>
      <c r="J435" s="10"/>
      <c r="K435" s="10"/>
      <c r="L435" s="10"/>
      <c r="M435" s="10"/>
      <c r="N435" s="10"/>
      <c r="O435" s="13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3"/>
      <c r="J436" s="10"/>
      <c r="K436" s="10"/>
      <c r="L436" s="10"/>
      <c r="M436" s="10"/>
      <c r="N436" s="10"/>
      <c r="O436" s="13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3"/>
      <c r="J437" s="10"/>
      <c r="K437" s="10"/>
      <c r="L437" s="10"/>
      <c r="M437" s="10"/>
      <c r="N437" s="10"/>
      <c r="O437" s="13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3"/>
      <c r="J438" s="10"/>
      <c r="K438" s="10"/>
      <c r="L438" s="10"/>
      <c r="M438" s="10"/>
      <c r="N438" s="10"/>
      <c r="O438" s="13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3"/>
      <c r="J439" s="10"/>
      <c r="K439" s="10"/>
      <c r="L439" s="10"/>
      <c r="M439" s="10"/>
      <c r="N439" s="10"/>
      <c r="O439" s="13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3"/>
      <c r="J440" s="10"/>
      <c r="K440" s="10"/>
      <c r="L440" s="10"/>
      <c r="M440" s="10"/>
      <c r="N440" s="10"/>
      <c r="O440" s="13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3"/>
      <c r="J441" s="10"/>
      <c r="K441" s="10"/>
      <c r="L441" s="10"/>
      <c r="M441" s="10"/>
      <c r="N441" s="10"/>
      <c r="O441" s="13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3"/>
      <c r="J442" s="10"/>
      <c r="K442" s="10"/>
      <c r="L442" s="10"/>
      <c r="M442" s="10"/>
      <c r="N442" s="10"/>
      <c r="O442" s="13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3"/>
      <c r="J443" s="10"/>
      <c r="K443" s="10"/>
      <c r="L443" s="10"/>
      <c r="M443" s="10"/>
      <c r="N443" s="10"/>
      <c r="O443" s="13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3"/>
      <c r="J444" s="10"/>
      <c r="K444" s="10"/>
      <c r="L444" s="10"/>
      <c r="M444" s="10"/>
      <c r="N444" s="10"/>
      <c r="O444" s="13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3"/>
      <c r="J445" s="10"/>
      <c r="K445" s="10"/>
      <c r="L445" s="10"/>
      <c r="M445" s="10"/>
      <c r="N445" s="10"/>
      <c r="O445" s="13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3"/>
      <c r="J446" s="10"/>
      <c r="K446" s="10"/>
      <c r="L446" s="10"/>
      <c r="M446" s="10"/>
      <c r="N446" s="10"/>
      <c r="O446" s="13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3"/>
      <c r="J447" s="10"/>
      <c r="K447" s="10"/>
      <c r="L447" s="10"/>
      <c r="M447" s="10"/>
      <c r="N447" s="10"/>
      <c r="O447" s="13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3"/>
      <c r="J448" s="10"/>
      <c r="K448" s="10"/>
      <c r="L448" s="10"/>
      <c r="M448" s="10"/>
      <c r="N448" s="10"/>
      <c r="O448" s="13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3"/>
      <c r="J449" s="10"/>
      <c r="K449" s="10"/>
      <c r="L449" s="10"/>
      <c r="M449" s="10"/>
      <c r="N449" s="10"/>
      <c r="O449" s="13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3"/>
      <c r="J450" s="10"/>
      <c r="K450" s="10"/>
      <c r="L450" s="10"/>
      <c r="M450" s="10"/>
      <c r="N450" s="10"/>
      <c r="O450" s="13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3"/>
      <c r="J451" s="10"/>
      <c r="K451" s="10"/>
      <c r="L451" s="10"/>
      <c r="M451" s="10"/>
      <c r="N451" s="10"/>
      <c r="O451" s="13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3"/>
      <c r="J452" s="10"/>
      <c r="K452" s="10"/>
      <c r="L452" s="10"/>
      <c r="M452" s="10"/>
      <c r="N452" s="10"/>
      <c r="O452" s="13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3"/>
      <c r="J453" s="10"/>
      <c r="K453" s="10"/>
      <c r="L453" s="10"/>
      <c r="M453" s="10"/>
      <c r="N453" s="10"/>
      <c r="O453" s="13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3"/>
      <c r="J454" s="10"/>
      <c r="K454" s="10"/>
      <c r="L454" s="10"/>
      <c r="M454" s="10"/>
      <c r="N454" s="10"/>
      <c r="O454" s="13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3"/>
      <c r="J455" s="10"/>
      <c r="K455" s="10"/>
      <c r="L455" s="10"/>
      <c r="M455" s="10"/>
      <c r="N455" s="10"/>
      <c r="O455" s="13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3"/>
      <c r="J456" s="10"/>
      <c r="K456" s="10"/>
      <c r="L456" s="10"/>
      <c r="M456" s="10"/>
      <c r="N456" s="10"/>
      <c r="O456" s="13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3"/>
      <c r="J457" s="10"/>
      <c r="K457" s="10"/>
      <c r="L457" s="10"/>
      <c r="M457" s="10"/>
      <c r="N457" s="10"/>
      <c r="O457" s="13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3"/>
      <c r="J458" s="10"/>
      <c r="K458" s="10"/>
      <c r="L458" s="10"/>
      <c r="M458" s="10"/>
      <c r="N458" s="10"/>
      <c r="O458" s="13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3"/>
      <c r="J459" s="10"/>
      <c r="K459" s="10"/>
      <c r="L459" s="10"/>
      <c r="M459" s="10"/>
      <c r="N459" s="10"/>
      <c r="O459" s="13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3"/>
      <c r="J460" s="10"/>
      <c r="K460" s="10"/>
      <c r="L460" s="10"/>
      <c r="M460" s="10"/>
      <c r="N460" s="10"/>
      <c r="O460" s="13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3"/>
      <c r="J461" s="10"/>
      <c r="K461" s="10"/>
      <c r="L461" s="10"/>
      <c r="M461" s="10"/>
      <c r="N461" s="10"/>
      <c r="O461" s="13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3"/>
      <c r="J462" s="10"/>
      <c r="K462" s="10"/>
      <c r="L462" s="10"/>
      <c r="M462" s="10"/>
      <c r="N462" s="10"/>
      <c r="O462" s="13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3"/>
      <c r="J463" s="10"/>
      <c r="K463" s="10"/>
      <c r="L463" s="10"/>
      <c r="M463" s="10"/>
      <c r="N463" s="10"/>
      <c r="O463" s="13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3"/>
      <c r="J464" s="10"/>
      <c r="K464" s="10"/>
      <c r="L464" s="10"/>
      <c r="M464" s="10"/>
      <c r="N464" s="10"/>
      <c r="O464" s="13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3"/>
      <c r="J465" s="10"/>
      <c r="K465" s="10"/>
      <c r="L465" s="10"/>
      <c r="M465" s="10"/>
      <c r="N465" s="10"/>
      <c r="O465" s="13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3"/>
      <c r="J466" s="10"/>
      <c r="K466" s="10"/>
      <c r="L466" s="10"/>
      <c r="M466" s="10"/>
      <c r="N466" s="10"/>
      <c r="O466" s="13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3"/>
      <c r="J467" s="10"/>
      <c r="K467" s="10"/>
      <c r="L467" s="10"/>
      <c r="M467" s="10"/>
      <c r="N467" s="10"/>
      <c r="O467" s="13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3"/>
      <c r="J468" s="10"/>
      <c r="K468" s="10"/>
      <c r="L468" s="10"/>
      <c r="M468" s="10"/>
      <c r="N468" s="10"/>
      <c r="O468" s="13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3"/>
      <c r="J469" s="10"/>
      <c r="K469" s="10"/>
      <c r="L469" s="10"/>
      <c r="M469" s="10"/>
      <c r="N469" s="10"/>
      <c r="O469" s="13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3"/>
      <c r="J470" s="10"/>
      <c r="K470" s="10"/>
      <c r="L470" s="10"/>
      <c r="M470" s="10"/>
      <c r="N470" s="10"/>
      <c r="O470" s="13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3"/>
      <c r="J471" s="10"/>
      <c r="K471" s="10"/>
      <c r="L471" s="10"/>
      <c r="M471" s="10"/>
      <c r="N471" s="10"/>
      <c r="O471" s="13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3"/>
      <c r="J472" s="10"/>
      <c r="K472" s="10"/>
      <c r="L472" s="10"/>
      <c r="M472" s="10"/>
      <c r="N472" s="10"/>
      <c r="O472" s="13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3"/>
      <c r="J473" s="10"/>
      <c r="K473" s="10"/>
      <c r="L473" s="10"/>
      <c r="M473" s="10"/>
      <c r="N473" s="10"/>
      <c r="O473" s="13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3"/>
      <c r="J474" s="10"/>
      <c r="K474" s="10"/>
      <c r="L474" s="10"/>
      <c r="M474" s="10"/>
      <c r="N474" s="10"/>
      <c r="O474" s="13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3"/>
      <c r="J475" s="10"/>
      <c r="K475" s="10"/>
      <c r="L475" s="10"/>
      <c r="M475" s="10"/>
      <c r="N475" s="10"/>
      <c r="O475" s="13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3"/>
      <c r="J476" s="10"/>
      <c r="K476" s="10"/>
      <c r="L476" s="10"/>
      <c r="M476" s="10"/>
      <c r="N476" s="10"/>
      <c r="O476" s="13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3"/>
      <c r="J477" s="10"/>
      <c r="K477" s="10"/>
      <c r="L477" s="10"/>
      <c r="M477" s="10"/>
      <c r="N477" s="10"/>
      <c r="O477" s="13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3"/>
      <c r="J478" s="10"/>
      <c r="K478" s="10"/>
      <c r="L478" s="10"/>
      <c r="M478" s="10"/>
      <c r="N478" s="10"/>
      <c r="O478" s="13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3"/>
      <c r="J479" s="10"/>
      <c r="K479" s="10"/>
      <c r="L479" s="10"/>
      <c r="M479" s="10"/>
      <c r="N479" s="10"/>
      <c r="O479" s="13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3"/>
      <c r="J480" s="10"/>
      <c r="K480" s="10"/>
      <c r="L480" s="10"/>
      <c r="M480" s="10"/>
      <c r="N480" s="10"/>
      <c r="O480" s="13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3"/>
      <c r="J481" s="10"/>
      <c r="K481" s="10"/>
      <c r="L481" s="10"/>
      <c r="M481" s="10"/>
      <c r="N481" s="10"/>
      <c r="O481" s="13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3"/>
      <c r="J482" s="10"/>
      <c r="K482" s="10"/>
      <c r="L482" s="10"/>
      <c r="M482" s="10"/>
      <c r="N482" s="10"/>
      <c r="O482" s="13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3"/>
      <c r="J483" s="10"/>
      <c r="K483" s="10"/>
      <c r="L483" s="10"/>
      <c r="M483" s="10"/>
      <c r="N483" s="10"/>
      <c r="O483" s="13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3"/>
      <c r="J484" s="10"/>
      <c r="K484" s="10"/>
      <c r="L484" s="10"/>
      <c r="M484" s="10"/>
      <c r="N484" s="10"/>
      <c r="O484" s="13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3"/>
      <c r="J485" s="10"/>
      <c r="K485" s="10"/>
      <c r="L485" s="10"/>
      <c r="M485" s="10"/>
      <c r="N485" s="10"/>
      <c r="O485" s="13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3"/>
      <c r="J486" s="10"/>
      <c r="K486" s="10"/>
      <c r="L486" s="10"/>
      <c r="M486" s="10"/>
      <c r="N486" s="10"/>
      <c r="O486" s="13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3"/>
      <c r="J487" s="10"/>
      <c r="K487" s="10"/>
      <c r="L487" s="10"/>
      <c r="M487" s="10"/>
      <c r="N487" s="10"/>
      <c r="O487" s="13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3"/>
      <c r="J488" s="10"/>
      <c r="K488" s="10"/>
      <c r="L488" s="10"/>
      <c r="M488" s="10"/>
      <c r="N488" s="10"/>
      <c r="O488" s="13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3"/>
      <c r="J489" s="10"/>
      <c r="K489" s="10"/>
      <c r="L489" s="10"/>
      <c r="M489" s="10"/>
      <c r="N489" s="10"/>
      <c r="O489" s="13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3"/>
      <c r="J490" s="10"/>
      <c r="K490" s="10"/>
      <c r="L490" s="10"/>
      <c r="M490" s="10"/>
      <c r="N490" s="10"/>
      <c r="O490" s="13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3"/>
      <c r="J491" s="10"/>
      <c r="K491" s="10"/>
      <c r="L491" s="10"/>
      <c r="M491" s="10"/>
      <c r="N491" s="10"/>
      <c r="O491" s="13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3"/>
      <c r="J492" s="10"/>
      <c r="K492" s="10"/>
      <c r="L492" s="10"/>
      <c r="M492" s="10"/>
      <c r="N492" s="10"/>
      <c r="O492" s="13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3"/>
      <c r="J493" s="10"/>
      <c r="K493" s="10"/>
      <c r="L493" s="10"/>
      <c r="M493" s="10"/>
      <c r="N493" s="10"/>
      <c r="O493" s="13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3"/>
      <c r="J494" s="10"/>
      <c r="K494" s="10"/>
      <c r="L494" s="10"/>
      <c r="M494" s="10"/>
      <c r="N494" s="10"/>
      <c r="O494" s="13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3"/>
      <c r="J495" s="10"/>
      <c r="K495" s="10"/>
      <c r="L495" s="10"/>
      <c r="M495" s="10"/>
      <c r="N495" s="10"/>
      <c r="O495" s="13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3"/>
      <c r="J496" s="10"/>
      <c r="K496" s="10"/>
      <c r="L496" s="10"/>
      <c r="M496" s="10"/>
      <c r="N496" s="10"/>
      <c r="O496" s="13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3"/>
      <c r="J497" s="10"/>
      <c r="K497" s="10"/>
      <c r="L497" s="10"/>
      <c r="M497" s="10"/>
      <c r="N497" s="10"/>
      <c r="O497" s="13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3"/>
      <c r="J498" s="10"/>
      <c r="K498" s="10"/>
      <c r="L498" s="10"/>
      <c r="M498" s="10"/>
      <c r="N498" s="10"/>
      <c r="O498" s="13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3"/>
      <c r="J499" s="10"/>
      <c r="K499" s="10"/>
      <c r="L499" s="10"/>
      <c r="M499" s="10"/>
      <c r="N499" s="10"/>
      <c r="O499" s="13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3"/>
      <c r="J500" s="10"/>
      <c r="K500" s="10"/>
      <c r="L500" s="10"/>
      <c r="M500" s="10"/>
      <c r="N500" s="10"/>
      <c r="O500" s="13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3"/>
      <c r="J501" s="10"/>
      <c r="K501" s="10"/>
      <c r="L501" s="10"/>
      <c r="M501" s="10"/>
      <c r="N501" s="10"/>
      <c r="O501" s="13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3"/>
      <c r="J502" s="10"/>
      <c r="K502" s="10"/>
      <c r="L502" s="10"/>
      <c r="M502" s="10"/>
      <c r="N502" s="10"/>
      <c r="O502" s="13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3"/>
      <c r="J503" s="10"/>
      <c r="K503" s="10"/>
      <c r="L503" s="10"/>
      <c r="M503" s="10"/>
      <c r="N503" s="10"/>
      <c r="O503" s="13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3"/>
      <c r="J504" s="10"/>
      <c r="K504" s="10"/>
      <c r="L504" s="10"/>
      <c r="M504" s="10"/>
      <c r="N504" s="10"/>
      <c r="O504" s="13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3"/>
      <c r="J505" s="10"/>
      <c r="K505" s="10"/>
      <c r="L505" s="10"/>
      <c r="M505" s="10"/>
      <c r="N505" s="10"/>
      <c r="O505" s="13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3"/>
      <c r="J506" s="10"/>
      <c r="K506" s="10"/>
      <c r="L506" s="10"/>
      <c r="M506" s="10"/>
      <c r="N506" s="10"/>
      <c r="O506" s="13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3"/>
      <c r="J507" s="10"/>
      <c r="K507" s="10"/>
      <c r="L507" s="10"/>
      <c r="M507" s="10"/>
      <c r="N507" s="10"/>
      <c r="O507" s="13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3"/>
      <c r="J508" s="10"/>
      <c r="K508" s="10"/>
      <c r="L508" s="10"/>
      <c r="M508" s="10"/>
      <c r="N508" s="10"/>
      <c r="O508" s="13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3"/>
      <c r="J509" s="10"/>
      <c r="K509" s="10"/>
      <c r="L509" s="10"/>
      <c r="M509" s="10"/>
      <c r="N509" s="10"/>
      <c r="O509" s="13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3"/>
      <c r="J510" s="10"/>
      <c r="K510" s="10"/>
      <c r="L510" s="10"/>
      <c r="M510" s="10"/>
      <c r="N510" s="10"/>
      <c r="O510" s="13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3"/>
      <c r="J511" s="10"/>
      <c r="K511" s="10"/>
      <c r="L511" s="10"/>
      <c r="M511" s="10"/>
      <c r="N511" s="10"/>
      <c r="O511" s="13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3"/>
      <c r="J512" s="10"/>
      <c r="K512" s="10"/>
      <c r="L512" s="10"/>
      <c r="M512" s="10"/>
      <c r="N512" s="10"/>
      <c r="O512" s="13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3"/>
      <c r="J513" s="10"/>
      <c r="K513" s="10"/>
      <c r="L513" s="10"/>
      <c r="M513" s="10"/>
      <c r="N513" s="10"/>
      <c r="O513" s="13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3"/>
      <c r="J514" s="10"/>
      <c r="K514" s="10"/>
      <c r="L514" s="10"/>
      <c r="M514" s="10"/>
      <c r="N514" s="10"/>
      <c r="O514" s="13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3"/>
      <c r="J515" s="10"/>
      <c r="K515" s="10"/>
      <c r="L515" s="10"/>
      <c r="M515" s="10"/>
      <c r="N515" s="10"/>
      <c r="O515" s="13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3"/>
      <c r="J516" s="10"/>
      <c r="K516" s="10"/>
      <c r="L516" s="10"/>
      <c r="M516" s="10"/>
      <c r="N516" s="10"/>
      <c r="O516" s="13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3"/>
      <c r="J517" s="10"/>
      <c r="K517" s="10"/>
      <c r="L517" s="10"/>
      <c r="M517" s="10"/>
      <c r="N517" s="10"/>
      <c r="O517" s="13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3"/>
      <c r="J518" s="10"/>
      <c r="K518" s="10"/>
      <c r="L518" s="10"/>
      <c r="M518" s="10"/>
      <c r="N518" s="10"/>
      <c r="O518" s="13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3"/>
      <c r="J519" s="10"/>
      <c r="K519" s="10"/>
      <c r="L519" s="10"/>
      <c r="M519" s="10"/>
      <c r="N519" s="10"/>
      <c r="O519" s="13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3"/>
      <c r="J520" s="10"/>
      <c r="K520" s="10"/>
      <c r="L520" s="10"/>
      <c r="M520" s="10"/>
      <c r="N520" s="10"/>
      <c r="O520" s="13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3"/>
      <c r="J521" s="10"/>
      <c r="K521" s="10"/>
      <c r="L521" s="10"/>
      <c r="M521" s="10"/>
      <c r="N521" s="10"/>
      <c r="O521" s="13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3"/>
      <c r="J522" s="10"/>
      <c r="K522" s="10"/>
      <c r="L522" s="10"/>
      <c r="M522" s="10"/>
      <c r="N522" s="10"/>
      <c r="O522" s="13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3"/>
      <c r="J523" s="10"/>
      <c r="K523" s="10"/>
      <c r="L523" s="10"/>
      <c r="M523" s="10"/>
      <c r="N523" s="10"/>
      <c r="O523" s="13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3"/>
      <c r="J524" s="10"/>
      <c r="K524" s="10"/>
      <c r="L524" s="10"/>
      <c r="M524" s="10"/>
      <c r="N524" s="10"/>
      <c r="O524" s="13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3"/>
      <c r="J525" s="10"/>
      <c r="K525" s="10"/>
      <c r="L525" s="10"/>
      <c r="M525" s="10"/>
      <c r="N525" s="10"/>
      <c r="O525" s="13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3"/>
      <c r="J526" s="10"/>
      <c r="K526" s="10"/>
      <c r="L526" s="10"/>
      <c r="M526" s="10"/>
      <c r="N526" s="10"/>
      <c r="O526" s="13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3"/>
      <c r="J527" s="10"/>
      <c r="K527" s="10"/>
      <c r="L527" s="10"/>
      <c r="M527" s="10"/>
      <c r="N527" s="10"/>
      <c r="O527" s="13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3"/>
      <c r="J528" s="10"/>
      <c r="K528" s="10"/>
      <c r="L528" s="10"/>
      <c r="M528" s="10"/>
      <c r="N528" s="10"/>
      <c r="O528" s="13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3"/>
      <c r="J529" s="10"/>
      <c r="K529" s="10"/>
      <c r="L529" s="10"/>
      <c r="M529" s="10"/>
      <c r="N529" s="10"/>
      <c r="O529" s="13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3"/>
      <c r="J530" s="10"/>
      <c r="K530" s="10"/>
      <c r="L530" s="10"/>
      <c r="M530" s="10"/>
      <c r="N530" s="10"/>
      <c r="O530" s="13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3"/>
      <c r="J531" s="10"/>
      <c r="K531" s="10"/>
      <c r="L531" s="10"/>
      <c r="M531" s="10"/>
      <c r="N531" s="10"/>
      <c r="O531" s="13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3"/>
      <c r="J532" s="10"/>
      <c r="K532" s="10"/>
      <c r="L532" s="10"/>
      <c r="M532" s="10"/>
      <c r="N532" s="10"/>
      <c r="O532" s="13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3"/>
      <c r="J533" s="10"/>
      <c r="K533" s="10"/>
      <c r="L533" s="10"/>
      <c r="M533" s="10"/>
      <c r="N533" s="10"/>
      <c r="O533" s="13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3"/>
      <c r="J534" s="10"/>
      <c r="K534" s="10"/>
      <c r="L534" s="10"/>
      <c r="M534" s="10"/>
      <c r="N534" s="10"/>
      <c r="O534" s="13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3"/>
      <c r="J535" s="10"/>
      <c r="K535" s="10"/>
      <c r="L535" s="10"/>
      <c r="M535" s="10"/>
      <c r="N535" s="10"/>
      <c r="O535" s="13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3"/>
      <c r="J536" s="10"/>
      <c r="K536" s="10"/>
      <c r="L536" s="10"/>
      <c r="M536" s="10"/>
      <c r="N536" s="10"/>
      <c r="O536" s="13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3"/>
      <c r="J537" s="10"/>
      <c r="K537" s="10"/>
      <c r="L537" s="10"/>
      <c r="M537" s="10"/>
      <c r="N537" s="10"/>
      <c r="O537" s="13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3"/>
      <c r="J538" s="10"/>
      <c r="K538" s="10"/>
      <c r="L538" s="10"/>
      <c r="M538" s="10"/>
      <c r="N538" s="10"/>
      <c r="O538" s="13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3"/>
      <c r="J539" s="10"/>
      <c r="K539" s="10"/>
      <c r="L539" s="10"/>
      <c r="M539" s="10"/>
      <c r="N539" s="10"/>
      <c r="O539" s="13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3"/>
      <c r="J540" s="10"/>
      <c r="K540" s="10"/>
      <c r="L540" s="10"/>
      <c r="M540" s="10"/>
      <c r="N540" s="10"/>
      <c r="O540" s="13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3"/>
      <c r="J541" s="10"/>
      <c r="K541" s="10"/>
      <c r="L541" s="10"/>
      <c r="M541" s="10"/>
      <c r="N541" s="10"/>
      <c r="O541" s="13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3"/>
      <c r="J542" s="10"/>
      <c r="K542" s="10"/>
      <c r="L542" s="10"/>
      <c r="M542" s="10"/>
      <c r="N542" s="10"/>
      <c r="O542" s="13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3"/>
      <c r="J543" s="10"/>
      <c r="K543" s="10"/>
      <c r="L543" s="10"/>
      <c r="M543" s="10"/>
      <c r="N543" s="10"/>
      <c r="O543" s="13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3"/>
      <c r="J544" s="10"/>
      <c r="K544" s="10"/>
      <c r="L544" s="10"/>
      <c r="M544" s="10"/>
      <c r="N544" s="10"/>
      <c r="O544" s="13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3"/>
      <c r="J545" s="10"/>
      <c r="K545" s="10"/>
      <c r="L545" s="10"/>
      <c r="M545" s="10"/>
      <c r="N545" s="10"/>
      <c r="O545" s="13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3"/>
      <c r="J546" s="10"/>
      <c r="K546" s="10"/>
      <c r="L546" s="10"/>
      <c r="M546" s="10"/>
      <c r="N546" s="10"/>
      <c r="O546" s="13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3"/>
      <c r="J547" s="10"/>
      <c r="K547" s="10"/>
      <c r="L547" s="10"/>
      <c r="M547" s="10"/>
      <c r="N547" s="10"/>
      <c r="O547" s="13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3"/>
      <c r="J548" s="10"/>
      <c r="K548" s="10"/>
      <c r="L548" s="10"/>
      <c r="M548" s="10"/>
      <c r="N548" s="10"/>
      <c r="O548" s="13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3"/>
      <c r="J549" s="10"/>
      <c r="K549" s="10"/>
      <c r="L549" s="10"/>
      <c r="M549" s="10"/>
      <c r="N549" s="10"/>
      <c r="O549" s="13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3"/>
      <c r="J550" s="10"/>
      <c r="K550" s="10"/>
      <c r="L550" s="10"/>
      <c r="M550" s="10"/>
      <c r="N550" s="10"/>
      <c r="O550" s="13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3"/>
      <c r="J551" s="10"/>
      <c r="K551" s="10"/>
      <c r="L551" s="10"/>
      <c r="M551" s="10"/>
      <c r="N551" s="10"/>
      <c r="O551" s="13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3"/>
      <c r="J552" s="10"/>
      <c r="K552" s="10"/>
      <c r="L552" s="10"/>
      <c r="M552" s="10"/>
      <c r="N552" s="10"/>
      <c r="O552" s="13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3"/>
      <c r="J553" s="10"/>
      <c r="K553" s="10"/>
      <c r="L553" s="10"/>
      <c r="M553" s="10"/>
      <c r="N553" s="10"/>
      <c r="O553" s="13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3"/>
      <c r="J554" s="10"/>
      <c r="K554" s="10"/>
      <c r="L554" s="10"/>
      <c r="M554" s="10"/>
      <c r="N554" s="10"/>
      <c r="O554" s="13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3"/>
      <c r="J555" s="10"/>
      <c r="K555" s="10"/>
      <c r="L555" s="10"/>
      <c r="M555" s="10"/>
      <c r="N555" s="10"/>
      <c r="O555" s="13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3"/>
      <c r="J556" s="10"/>
      <c r="K556" s="10"/>
      <c r="L556" s="10"/>
      <c r="M556" s="10"/>
      <c r="N556" s="10"/>
      <c r="O556" s="13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3"/>
      <c r="J557" s="10"/>
      <c r="K557" s="10"/>
      <c r="L557" s="10"/>
      <c r="M557" s="10"/>
      <c r="N557" s="10"/>
      <c r="O557" s="13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3"/>
      <c r="J558" s="10"/>
      <c r="K558" s="10"/>
      <c r="L558" s="10"/>
      <c r="M558" s="10"/>
      <c r="N558" s="10"/>
      <c r="O558" s="13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3"/>
      <c r="J559" s="10"/>
      <c r="K559" s="10"/>
      <c r="L559" s="10"/>
      <c r="M559" s="10"/>
      <c r="N559" s="10"/>
      <c r="O559" s="13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3"/>
      <c r="J560" s="10"/>
      <c r="K560" s="10"/>
      <c r="L560" s="10"/>
      <c r="M560" s="10"/>
      <c r="N560" s="10"/>
      <c r="O560" s="13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3"/>
      <c r="J561" s="10"/>
      <c r="K561" s="10"/>
      <c r="L561" s="10"/>
      <c r="M561" s="10"/>
      <c r="N561" s="10"/>
      <c r="O561" s="13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3"/>
      <c r="J562" s="10"/>
      <c r="K562" s="10"/>
      <c r="L562" s="10"/>
      <c r="M562" s="10"/>
      <c r="N562" s="10"/>
      <c r="O562" s="13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3"/>
      <c r="J563" s="10"/>
      <c r="K563" s="10"/>
      <c r="L563" s="10"/>
      <c r="M563" s="10"/>
      <c r="N563" s="10"/>
      <c r="O563" s="13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3"/>
      <c r="J564" s="10"/>
      <c r="K564" s="10"/>
      <c r="L564" s="10"/>
      <c r="M564" s="10"/>
      <c r="N564" s="10"/>
      <c r="O564" s="13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3"/>
      <c r="J565" s="10"/>
      <c r="K565" s="10"/>
      <c r="L565" s="10"/>
      <c r="M565" s="10"/>
      <c r="N565" s="10"/>
      <c r="O565" s="13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3"/>
      <c r="J566" s="10"/>
      <c r="K566" s="10"/>
      <c r="L566" s="10"/>
      <c r="M566" s="10"/>
      <c r="N566" s="10"/>
      <c r="O566" s="13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3"/>
      <c r="J567" s="10"/>
      <c r="K567" s="10"/>
      <c r="L567" s="10"/>
      <c r="M567" s="10"/>
      <c r="N567" s="10"/>
      <c r="O567" s="13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3"/>
      <c r="J568" s="10"/>
      <c r="K568" s="10"/>
      <c r="L568" s="10"/>
      <c r="M568" s="10"/>
      <c r="N568" s="10"/>
      <c r="O568" s="13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3"/>
      <c r="J569" s="10"/>
      <c r="K569" s="10"/>
      <c r="L569" s="10"/>
      <c r="M569" s="10"/>
      <c r="N569" s="10"/>
      <c r="O569" s="13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3"/>
      <c r="J570" s="10"/>
      <c r="K570" s="10"/>
      <c r="L570" s="10"/>
      <c r="M570" s="10"/>
      <c r="N570" s="10"/>
      <c r="O570" s="13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3"/>
      <c r="J571" s="10"/>
      <c r="K571" s="10"/>
      <c r="L571" s="10"/>
      <c r="M571" s="10"/>
      <c r="N571" s="10"/>
      <c r="O571" s="13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3"/>
      <c r="J572" s="10"/>
      <c r="K572" s="10"/>
      <c r="L572" s="10"/>
      <c r="M572" s="10"/>
      <c r="N572" s="10"/>
      <c r="O572" s="13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3"/>
      <c r="J573" s="10"/>
      <c r="K573" s="10"/>
      <c r="L573" s="10"/>
      <c r="M573" s="10"/>
      <c r="N573" s="10"/>
      <c r="O573" s="13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3"/>
      <c r="J574" s="10"/>
      <c r="K574" s="10"/>
      <c r="L574" s="10"/>
      <c r="M574" s="10"/>
      <c r="N574" s="10"/>
      <c r="O574" s="13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3"/>
      <c r="J575" s="10"/>
      <c r="K575" s="10"/>
      <c r="L575" s="10"/>
      <c r="M575" s="10"/>
      <c r="N575" s="10"/>
      <c r="O575" s="13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3"/>
      <c r="J576" s="10"/>
      <c r="K576" s="10"/>
      <c r="L576" s="10"/>
      <c r="M576" s="10"/>
      <c r="N576" s="10"/>
      <c r="O576" s="13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3"/>
      <c r="J577" s="10"/>
      <c r="K577" s="10"/>
      <c r="L577" s="10"/>
      <c r="M577" s="10"/>
      <c r="N577" s="10"/>
      <c r="O577" s="13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3"/>
      <c r="J578" s="10"/>
      <c r="K578" s="10"/>
      <c r="L578" s="10"/>
      <c r="M578" s="10"/>
      <c r="N578" s="10"/>
      <c r="O578" s="13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3"/>
      <c r="J579" s="10"/>
      <c r="K579" s="10"/>
      <c r="L579" s="10"/>
      <c r="M579" s="10"/>
      <c r="N579" s="10"/>
      <c r="O579" s="13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3"/>
      <c r="J580" s="10"/>
      <c r="K580" s="10"/>
      <c r="L580" s="10"/>
      <c r="M580" s="10"/>
      <c r="N580" s="10"/>
      <c r="O580" s="13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3"/>
      <c r="J581" s="10"/>
      <c r="K581" s="10"/>
      <c r="L581" s="10"/>
      <c r="M581" s="10"/>
      <c r="N581" s="10"/>
      <c r="O581" s="13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3"/>
      <c r="J582" s="10"/>
      <c r="K582" s="10"/>
      <c r="L582" s="10"/>
      <c r="M582" s="10"/>
      <c r="N582" s="10"/>
      <c r="O582" s="13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3"/>
      <c r="J583" s="10"/>
      <c r="K583" s="10"/>
      <c r="L583" s="10"/>
      <c r="M583" s="10"/>
      <c r="N583" s="10"/>
      <c r="O583" s="13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3"/>
      <c r="J584" s="10"/>
      <c r="K584" s="10"/>
      <c r="L584" s="10"/>
      <c r="M584" s="10"/>
      <c r="N584" s="10"/>
      <c r="O584" s="13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3"/>
      <c r="J585" s="10"/>
      <c r="K585" s="10"/>
      <c r="L585" s="10"/>
      <c r="M585" s="10"/>
      <c r="N585" s="10"/>
      <c r="O585" s="13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3"/>
      <c r="J586" s="10"/>
      <c r="K586" s="10"/>
      <c r="L586" s="10"/>
      <c r="M586" s="10"/>
      <c r="N586" s="10"/>
      <c r="O586" s="13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3"/>
      <c r="J587" s="10"/>
      <c r="K587" s="10"/>
      <c r="L587" s="10"/>
      <c r="M587" s="10"/>
      <c r="N587" s="10"/>
      <c r="O587" s="13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3"/>
      <c r="J588" s="10"/>
      <c r="K588" s="10"/>
      <c r="L588" s="10"/>
      <c r="M588" s="10"/>
      <c r="N588" s="10"/>
      <c r="O588" s="13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3"/>
      <c r="J589" s="10"/>
      <c r="K589" s="10"/>
      <c r="L589" s="10"/>
      <c r="M589" s="10"/>
      <c r="N589" s="10"/>
      <c r="O589" s="13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3"/>
      <c r="J590" s="10"/>
      <c r="K590" s="10"/>
      <c r="L590" s="10"/>
      <c r="M590" s="10"/>
      <c r="N590" s="10"/>
      <c r="O590" s="13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3"/>
      <c r="J591" s="10"/>
      <c r="K591" s="10"/>
      <c r="L591" s="10"/>
      <c r="M591" s="10"/>
      <c r="N591" s="10"/>
      <c r="O591" s="13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3"/>
      <c r="J592" s="10"/>
      <c r="K592" s="10"/>
      <c r="L592" s="10"/>
      <c r="M592" s="10"/>
      <c r="N592" s="10"/>
      <c r="O592" s="13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3"/>
      <c r="J593" s="10"/>
      <c r="K593" s="10"/>
      <c r="L593" s="10"/>
      <c r="M593" s="10"/>
      <c r="N593" s="10"/>
      <c r="O593" s="13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3"/>
      <c r="J594" s="10"/>
      <c r="K594" s="10"/>
      <c r="L594" s="10"/>
      <c r="M594" s="10"/>
      <c r="N594" s="10"/>
      <c r="O594" s="13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3"/>
      <c r="J595" s="10"/>
      <c r="K595" s="10"/>
      <c r="L595" s="10"/>
      <c r="M595" s="10"/>
      <c r="N595" s="10"/>
      <c r="O595" s="13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3"/>
      <c r="J596" s="10"/>
      <c r="K596" s="10"/>
      <c r="L596" s="10"/>
      <c r="M596" s="10"/>
      <c r="N596" s="10"/>
      <c r="O596" s="13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3"/>
      <c r="J597" s="10"/>
      <c r="K597" s="10"/>
      <c r="L597" s="10"/>
      <c r="M597" s="10"/>
      <c r="N597" s="10"/>
      <c r="O597" s="13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3"/>
      <c r="J598" s="10"/>
      <c r="K598" s="10"/>
      <c r="L598" s="10"/>
      <c r="M598" s="10"/>
      <c r="N598" s="10"/>
      <c r="O598" s="13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3"/>
      <c r="J599" s="10"/>
      <c r="K599" s="10"/>
      <c r="L599" s="10"/>
      <c r="M599" s="10"/>
      <c r="N599" s="10"/>
      <c r="O599" s="13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3"/>
      <c r="J600" s="10"/>
      <c r="K600" s="10"/>
      <c r="L600" s="10"/>
      <c r="M600" s="10"/>
      <c r="N600" s="10"/>
      <c r="O600" s="13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3"/>
      <c r="J601" s="10"/>
      <c r="K601" s="10"/>
      <c r="L601" s="10"/>
      <c r="M601" s="10"/>
      <c r="N601" s="10"/>
      <c r="O601" s="13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3"/>
      <c r="J602" s="10"/>
      <c r="K602" s="10"/>
      <c r="L602" s="10"/>
      <c r="M602" s="10"/>
      <c r="N602" s="10"/>
      <c r="O602" s="13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3"/>
      <c r="J603" s="10"/>
      <c r="K603" s="10"/>
      <c r="L603" s="10"/>
      <c r="M603" s="10"/>
      <c r="N603" s="10"/>
      <c r="O603" s="13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3"/>
      <c r="J604" s="10"/>
      <c r="K604" s="10"/>
      <c r="L604" s="10"/>
      <c r="M604" s="10"/>
      <c r="N604" s="10"/>
      <c r="O604" s="13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3"/>
      <c r="J605" s="10"/>
      <c r="K605" s="10"/>
      <c r="L605" s="10"/>
      <c r="M605" s="10"/>
      <c r="N605" s="10"/>
      <c r="O605" s="13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3"/>
      <c r="J606" s="10"/>
      <c r="K606" s="10"/>
      <c r="L606" s="10"/>
      <c r="M606" s="10"/>
      <c r="N606" s="10"/>
      <c r="O606" s="13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3"/>
      <c r="J607" s="10"/>
      <c r="K607" s="10"/>
      <c r="L607" s="10"/>
      <c r="M607" s="10"/>
      <c r="N607" s="10"/>
      <c r="O607" s="13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3"/>
      <c r="J608" s="10"/>
      <c r="K608" s="10"/>
      <c r="L608" s="10"/>
      <c r="M608" s="10"/>
      <c r="N608" s="10"/>
      <c r="O608" s="13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3"/>
      <c r="J609" s="10"/>
      <c r="K609" s="10"/>
      <c r="L609" s="10"/>
      <c r="M609" s="10"/>
      <c r="N609" s="10"/>
      <c r="O609" s="13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3"/>
      <c r="J610" s="10"/>
      <c r="K610" s="10"/>
      <c r="L610" s="10"/>
      <c r="M610" s="10"/>
      <c r="N610" s="10"/>
      <c r="O610" s="13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3"/>
      <c r="J611" s="10"/>
      <c r="K611" s="10"/>
      <c r="L611" s="10"/>
      <c r="M611" s="10"/>
      <c r="N611" s="10"/>
      <c r="O611" s="13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3"/>
      <c r="J612" s="10"/>
      <c r="K612" s="10"/>
      <c r="L612" s="10"/>
      <c r="M612" s="10"/>
      <c r="N612" s="10"/>
      <c r="O612" s="13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3"/>
      <c r="J613" s="10"/>
      <c r="K613" s="10"/>
      <c r="L613" s="10"/>
      <c r="M613" s="10"/>
      <c r="N613" s="10"/>
      <c r="O613" s="13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3"/>
      <c r="J614" s="10"/>
      <c r="K614" s="10"/>
      <c r="L614" s="10"/>
      <c r="M614" s="10"/>
      <c r="N614" s="10"/>
      <c r="O614" s="13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3"/>
      <c r="J615" s="10"/>
      <c r="K615" s="10"/>
      <c r="L615" s="10"/>
      <c r="M615" s="10"/>
      <c r="N615" s="10"/>
      <c r="O615" s="13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3"/>
      <c r="J616" s="10"/>
      <c r="K616" s="10"/>
      <c r="L616" s="10"/>
      <c r="M616" s="10"/>
      <c r="N616" s="10"/>
      <c r="O616" s="13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3"/>
      <c r="J617" s="10"/>
      <c r="K617" s="10"/>
      <c r="L617" s="10"/>
      <c r="M617" s="10"/>
      <c r="N617" s="10"/>
      <c r="O617" s="13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3"/>
      <c r="J618" s="10"/>
      <c r="K618" s="10"/>
      <c r="L618" s="10"/>
      <c r="M618" s="10"/>
      <c r="N618" s="10"/>
      <c r="O618" s="13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3"/>
      <c r="J619" s="10"/>
      <c r="K619" s="10"/>
      <c r="L619" s="10"/>
      <c r="M619" s="10"/>
      <c r="N619" s="10"/>
      <c r="O619" s="13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3"/>
      <c r="J620" s="10"/>
      <c r="K620" s="10"/>
      <c r="L620" s="10"/>
      <c r="M620" s="10"/>
      <c r="N620" s="10"/>
      <c r="O620" s="13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3"/>
      <c r="J621" s="10"/>
      <c r="K621" s="10"/>
      <c r="L621" s="10"/>
      <c r="M621" s="10"/>
      <c r="N621" s="10"/>
      <c r="O621" s="13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3"/>
      <c r="J622" s="10"/>
      <c r="K622" s="10"/>
      <c r="L622" s="10"/>
      <c r="M622" s="10"/>
      <c r="N622" s="10"/>
      <c r="O622" s="13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3"/>
      <c r="J623" s="10"/>
      <c r="K623" s="10"/>
      <c r="L623" s="10"/>
      <c r="M623" s="10"/>
      <c r="N623" s="10"/>
      <c r="O623" s="13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3"/>
      <c r="J624" s="10"/>
      <c r="K624" s="10"/>
      <c r="L624" s="10"/>
      <c r="M624" s="10"/>
      <c r="N624" s="10"/>
      <c r="O624" s="13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3"/>
      <c r="J625" s="10"/>
      <c r="K625" s="10"/>
      <c r="L625" s="10"/>
      <c r="M625" s="10"/>
      <c r="N625" s="10"/>
      <c r="O625" s="13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3"/>
      <c r="J626" s="10"/>
      <c r="K626" s="10"/>
      <c r="L626" s="10"/>
      <c r="M626" s="10"/>
      <c r="N626" s="10"/>
      <c r="O626" s="13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3"/>
      <c r="J627" s="10"/>
      <c r="K627" s="10"/>
      <c r="L627" s="10"/>
      <c r="M627" s="10"/>
      <c r="N627" s="10"/>
      <c r="O627" s="13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3"/>
      <c r="J628" s="10"/>
      <c r="K628" s="10"/>
      <c r="L628" s="10"/>
      <c r="M628" s="10"/>
      <c r="N628" s="10"/>
      <c r="O628" s="13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3"/>
      <c r="J629" s="10"/>
      <c r="K629" s="10"/>
      <c r="L629" s="10"/>
      <c r="M629" s="10"/>
      <c r="N629" s="10"/>
      <c r="O629" s="13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3"/>
      <c r="J630" s="10"/>
      <c r="K630" s="10"/>
      <c r="L630" s="10"/>
      <c r="M630" s="10"/>
      <c r="N630" s="10"/>
      <c r="O630" s="13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3"/>
      <c r="J631" s="10"/>
      <c r="K631" s="10"/>
      <c r="L631" s="10"/>
      <c r="M631" s="10"/>
      <c r="N631" s="10"/>
      <c r="O631" s="13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3"/>
      <c r="J632" s="10"/>
      <c r="K632" s="10"/>
      <c r="L632" s="10"/>
      <c r="M632" s="10"/>
      <c r="N632" s="10"/>
      <c r="O632" s="13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3"/>
      <c r="J633" s="10"/>
      <c r="K633" s="10"/>
      <c r="L633" s="10"/>
      <c r="M633" s="10"/>
      <c r="N633" s="10"/>
      <c r="O633" s="13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3"/>
      <c r="J634" s="10"/>
      <c r="K634" s="10"/>
      <c r="L634" s="10"/>
      <c r="M634" s="10"/>
      <c r="N634" s="10"/>
      <c r="O634" s="13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3"/>
      <c r="J635" s="10"/>
      <c r="K635" s="10"/>
      <c r="L635" s="10"/>
      <c r="M635" s="10"/>
      <c r="N635" s="10"/>
      <c r="O635" s="13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3"/>
      <c r="J636" s="10"/>
      <c r="K636" s="10"/>
      <c r="L636" s="10"/>
      <c r="M636" s="10"/>
      <c r="N636" s="10"/>
      <c r="O636" s="13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3"/>
      <c r="J637" s="10"/>
      <c r="K637" s="10"/>
      <c r="L637" s="10"/>
      <c r="M637" s="10"/>
      <c r="N637" s="10"/>
      <c r="O637" s="13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3"/>
      <c r="J638" s="10"/>
      <c r="K638" s="10"/>
      <c r="L638" s="10"/>
      <c r="M638" s="10"/>
      <c r="N638" s="10"/>
      <c r="O638" s="13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3"/>
      <c r="J639" s="10"/>
      <c r="K639" s="10"/>
      <c r="L639" s="10"/>
      <c r="M639" s="10"/>
      <c r="N639" s="10"/>
      <c r="O639" s="13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3"/>
      <c r="J640" s="10"/>
      <c r="K640" s="10"/>
      <c r="L640" s="10"/>
      <c r="M640" s="10"/>
      <c r="N640" s="10"/>
      <c r="O640" s="13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3"/>
      <c r="J641" s="10"/>
      <c r="K641" s="10"/>
      <c r="L641" s="10"/>
      <c r="M641" s="10"/>
      <c r="N641" s="10"/>
      <c r="O641" s="13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3"/>
      <c r="J642" s="10"/>
      <c r="K642" s="10"/>
      <c r="L642" s="10"/>
      <c r="M642" s="10"/>
      <c r="N642" s="10"/>
      <c r="O642" s="13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3"/>
      <c r="J643" s="10"/>
      <c r="K643" s="10"/>
      <c r="L643" s="10"/>
      <c r="M643" s="10"/>
      <c r="N643" s="10"/>
      <c r="O643" s="13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3"/>
      <c r="J644" s="10"/>
      <c r="K644" s="10"/>
      <c r="L644" s="10"/>
      <c r="M644" s="10"/>
      <c r="N644" s="10"/>
      <c r="O644" s="13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3"/>
      <c r="J645" s="10"/>
      <c r="K645" s="10"/>
      <c r="L645" s="10"/>
      <c r="M645" s="10"/>
      <c r="N645" s="10"/>
      <c r="O645" s="13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3"/>
      <c r="J646" s="10"/>
      <c r="K646" s="10"/>
      <c r="L646" s="10"/>
      <c r="M646" s="10"/>
      <c r="N646" s="10"/>
      <c r="O646" s="13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3"/>
      <c r="J647" s="10"/>
      <c r="K647" s="10"/>
      <c r="L647" s="10"/>
      <c r="M647" s="10"/>
      <c r="N647" s="10"/>
      <c r="O647" s="13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3"/>
      <c r="J648" s="10"/>
      <c r="K648" s="10"/>
      <c r="L648" s="10"/>
      <c r="M648" s="10"/>
      <c r="N648" s="10"/>
      <c r="O648" s="13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3"/>
      <c r="J649" s="10"/>
      <c r="K649" s="10"/>
      <c r="L649" s="10"/>
      <c r="M649" s="10"/>
      <c r="N649" s="10"/>
      <c r="O649" s="13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3"/>
      <c r="J650" s="10"/>
      <c r="K650" s="10"/>
      <c r="L650" s="10"/>
      <c r="M650" s="10"/>
      <c r="N650" s="10"/>
      <c r="O650" s="13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3"/>
      <c r="J651" s="10"/>
      <c r="K651" s="10"/>
      <c r="L651" s="10"/>
      <c r="M651" s="10"/>
      <c r="N651" s="10"/>
      <c r="O651" s="13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3"/>
      <c r="J652" s="10"/>
      <c r="K652" s="10"/>
      <c r="L652" s="10"/>
      <c r="M652" s="10"/>
      <c r="N652" s="10"/>
      <c r="O652" s="13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3"/>
      <c r="J653" s="10"/>
      <c r="K653" s="10"/>
      <c r="L653" s="10"/>
      <c r="M653" s="10"/>
      <c r="N653" s="10"/>
      <c r="O653" s="13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3"/>
      <c r="J654" s="10"/>
      <c r="K654" s="10"/>
      <c r="L654" s="10"/>
      <c r="M654" s="10"/>
      <c r="N654" s="10"/>
      <c r="O654" s="13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3"/>
      <c r="J655" s="10"/>
      <c r="K655" s="10"/>
      <c r="L655" s="10"/>
      <c r="M655" s="10"/>
      <c r="N655" s="10"/>
      <c r="O655" s="13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3"/>
      <c r="J656" s="10"/>
      <c r="K656" s="10"/>
      <c r="L656" s="10"/>
      <c r="M656" s="10"/>
      <c r="N656" s="10"/>
      <c r="O656" s="13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3"/>
      <c r="J657" s="10"/>
      <c r="K657" s="10"/>
      <c r="L657" s="10"/>
      <c r="M657" s="10"/>
      <c r="N657" s="10"/>
      <c r="O657" s="13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3"/>
      <c r="J658" s="10"/>
      <c r="K658" s="10"/>
      <c r="L658" s="10"/>
      <c r="M658" s="10"/>
      <c r="N658" s="10"/>
      <c r="O658" s="13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3"/>
      <c r="J659" s="10"/>
      <c r="K659" s="10"/>
      <c r="L659" s="10"/>
      <c r="M659" s="10"/>
      <c r="N659" s="10"/>
      <c r="O659" s="13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3"/>
      <c r="J660" s="10"/>
      <c r="K660" s="10"/>
      <c r="L660" s="10"/>
      <c r="M660" s="10"/>
      <c r="N660" s="10"/>
      <c r="O660" s="13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3"/>
      <c r="J661" s="10"/>
      <c r="K661" s="10"/>
      <c r="L661" s="10"/>
      <c r="M661" s="10"/>
      <c r="N661" s="10"/>
      <c r="O661" s="13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3"/>
      <c r="J662" s="10"/>
      <c r="K662" s="10"/>
      <c r="L662" s="10"/>
      <c r="M662" s="10"/>
      <c r="N662" s="10"/>
      <c r="O662" s="13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3"/>
      <c r="J663" s="10"/>
      <c r="K663" s="10"/>
      <c r="L663" s="10"/>
      <c r="M663" s="10"/>
      <c r="N663" s="10"/>
      <c r="O663" s="13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3"/>
      <c r="J664" s="10"/>
      <c r="K664" s="10"/>
      <c r="L664" s="10"/>
      <c r="M664" s="10"/>
      <c r="N664" s="10"/>
      <c r="O664" s="13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3"/>
      <c r="J665" s="10"/>
      <c r="K665" s="10"/>
      <c r="L665" s="10"/>
      <c r="M665" s="10"/>
      <c r="N665" s="10"/>
      <c r="O665" s="13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3"/>
      <c r="J666" s="10"/>
      <c r="K666" s="10"/>
      <c r="L666" s="10"/>
      <c r="M666" s="10"/>
      <c r="N666" s="10"/>
      <c r="O666" s="13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3"/>
      <c r="J667" s="10"/>
      <c r="K667" s="10"/>
      <c r="L667" s="10"/>
      <c r="M667" s="10"/>
      <c r="N667" s="10"/>
      <c r="O667" s="13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3"/>
      <c r="J668" s="10"/>
      <c r="K668" s="10"/>
      <c r="L668" s="10"/>
      <c r="M668" s="10"/>
      <c r="N668" s="10"/>
      <c r="O668" s="13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3"/>
      <c r="J669" s="10"/>
      <c r="K669" s="10"/>
      <c r="L669" s="10"/>
      <c r="M669" s="10"/>
      <c r="N669" s="10"/>
      <c r="O669" s="13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3"/>
      <c r="J670" s="10"/>
      <c r="K670" s="10"/>
      <c r="L670" s="10"/>
      <c r="M670" s="10"/>
      <c r="N670" s="10"/>
      <c r="O670" s="13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3"/>
      <c r="J671" s="10"/>
      <c r="K671" s="10"/>
      <c r="L671" s="10"/>
      <c r="M671" s="10"/>
      <c r="N671" s="10"/>
      <c r="O671" s="13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3"/>
      <c r="J672" s="10"/>
      <c r="K672" s="10"/>
      <c r="L672" s="10"/>
      <c r="M672" s="10"/>
      <c r="N672" s="10"/>
      <c r="O672" s="13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3"/>
      <c r="J673" s="10"/>
      <c r="K673" s="10"/>
      <c r="L673" s="10"/>
      <c r="M673" s="10"/>
      <c r="N673" s="10"/>
      <c r="O673" s="13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3"/>
      <c r="J674" s="10"/>
      <c r="K674" s="10"/>
      <c r="L674" s="10"/>
      <c r="M674" s="10"/>
      <c r="N674" s="10"/>
      <c r="O674" s="13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3"/>
      <c r="J675" s="10"/>
      <c r="K675" s="10"/>
      <c r="L675" s="10"/>
      <c r="M675" s="10"/>
      <c r="N675" s="10"/>
      <c r="O675" s="13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3"/>
      <c r="J676" s="10"/>
      <c r="K676" s="10"/>
      <c r="L676" s="10"/>
      <c r="M676" s="10"/>
      <c r="N676" s="10"/>
      <c r="O676" s="13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3"/>
      <c r="J677" s="10"/>
      <c r="K677" s="10"/>
      <c r="L677" s="10"/>
      <c r="M677" s="10"/>
      <c r="N677" s="10"/>
      <c r="O677" s="13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3"/>
      <c r="J678" s="10"/>
      <c r="K678" s="10"/>
      <c r="L678" s="10"/>
      <c r="M678" s="10"/>
      <c r="N678" s="10"/>
      <c r="O678" s="13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3"/>
      <c r="J679" s="10"/>
      <c r="K679" s="10"/>
      <c r="L679" s="10"/>
      <c r="M679" s="10"/>
      <c r="N679" s="10"/>
      <c r="O679" s="13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3"/>
      <c r="J680" s="10"/>
      <c r="K680" s="10"/>
      <c r="L680" s="10"/>
      <c r="M680" s="10"/>
      <c r="N680" s="10"/>
      <c r="O680" s="13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3"/>
      <c r="J681" s="10"/>
      <c r="K681" s="10"/>
      <c r="L681" s="10"/>
      <c r="M681" s="10"/>
      <c r="N681" s="10"/>
      <c r="O681" s="13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3"/>
      <c r="J682" s="10"/>
      <c r="K682" s="10"/>
      <c r="L682" s="10"/>
      <c r="M682" s="10"/>
      <c r="N682" s="10"/>
      <c r="O682" s="13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3"/>
      <c r="J683" s="10"/>
      <c r="K683" s="10"/>
      <c r="L683" s="10"/>
      <c r="M683" s="10"/>
      <c r="N683" s="10"/>
      <c r="O683" s="13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3"/>
      <c r="J684" s="10"/>
      <c r="K684" s="10"/>
      <c r="L684" s="10"/>
      <c r="M684" s="10"/>
      <c r="N684" s="10"/>
      <c r="O684" s="13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3"/>
      <c r="J685" s="10"/>
      <c r="K685" s="10"/>
      <c r="L685" s="10"/>
      <c r="M685" s="10"/>
      <c r="N685" s="10"/>
      <c r="O685" s="13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3"/>
      <c r="J686" s="10"/>
      <c r="K686" s="10"/>
      <c r="L686" s="10"/>
      <c r="M686" s="10"/>
      <c r="N686" s="10"/>
      <c r="O686" s="13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3"/>
      <c r="J687" s="10"/>
      <c r="K687" s="10"/>
      <c r="L687" s="10"/>
      <c r="M687" s="10"/>
      <c r="N687" s="10"/>
      <c r="O687" s="13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3"/>
      <c r="J688" s="10"/>
      <c r="K688" s="10"/>
      <c r="L688" s="10"/>
      <c r="M688" s="10"/>
      <c r="N688" s="10"/>
      <c r="O688" s="13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3"/>
      <c r="J689" s="10"/>
      <c r="K689" s="10"/>
      <c r="L689" s="10"/>
      <c r="M689" s="10"/>
      <c r="N689" s="10"/>
      <c r="O689" s="13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3"/>
      <c r="J690" s="10"/>
      <c r="K690" s="10"/>
      <c r="L690" s="10"/>
      <c r="M690" s="10"/>
      <c r="N690" s="10"/>
      <c r="O690" s="13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3"/>
      <c r="J691" s="10"/>
      <c r="K691" s="10"/>
      <c r="L691" s="10"/>
      <c r="M691" s="10"/>
      <c r="N691" s="10"/>
      <c r="O691" s="13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3"/>
      <c r="J692" s="10"/>
      <c r="K692" s="10"/>
      <c r="L692" s="10"/>
      <c r="M692" s="10"/>
      <c r="N692" s="10"/>
      <c r="O692" s="13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3"/>
      <c r="J693" s="10"/>
      <c r="K693" s="10"/>
      <c r="L693" s="10"/>
      <c r="M693" s="10"/>
      <c r="N693" s="10"/>
      <c r="O693" s="13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3"/>
      <c r="J694" s="10"/>
      <c r="K694" s="10"/>
      <c r="L694" s="10"/>
      <c r="M694" s="10"/>
      <c r="N694" s="10"/>
      <c r="O694" s="13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3"/>
      <c r="J695" s="10"/>
      <c r="K695" s="10"/>
      <c r="L695" s="10"/>
      <c r="M695" s="10"/>
      <c r="N695" s="10"/>
      <c r="O695" s="13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3"/>
      <c r="J696" s="10"/>
      <c r="K696" s="10"/>
      <c r="L696" s="10"/>
      <c r="M696" s="10"/>
      <c r="N696" s="10"/>
      <c r="O696" s="13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3"/>
      <c r="J697" s="10"/>
      <c r="K697" s="10"/>
      <c r="L697" s="10"/>
      <c r="M697" s="10"/>
      <c r="N697" s="10"/>
      <c r="O697" s="13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3"/>
      <c r="J698" s="10"/>
      <c r="K698" s="10"/>
      <c r="L698" s="10"/>
      <c r="M698" s="10"/>
      <c r="N698" s="10"/>
      <c r="O698" s="13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3"/>
      <c r="J699" s="10"/>
      <c r="K699" s="10"/>
      <c r="L699" s="10"/>
      <c r="M699" s="10"/>
      <c r="N699" s="10"/>
      <c r="O699" s="13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3"/>
      <c r="J700" s="10"/>
      <c r="K700" s="10"/>
      <c r="L700" s="10"/>
      <c r="M700" s="10"/>
      <c r="N700" s="10"/>
      <c r="O700" s="13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3"/>
      <c r="J701" s="10"/>
      <c r="K701" s="10"/>
      <c r="L701" s="10"/>
      <c r="M701" s="10"/>
      <c r="N701" s="10"/>
      <c r="O701" s="13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3"/>
      <c r="J702" s="10"/>
      <c r="K702" s="10"/>
      <c r="L702" s="10"/>
      <c r="M702" s="10"/>
      <c r="N702" s="10"/>
      <c r="O702" s="13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3"/>
      <c r="J703" s="10"/>
      <c r="K703" s="10"/>
      <c r="L703" s="10"/>
      <c r="M703" s="10"/>
      <c r="N703" s="10"/>
      <c r="O703" s="13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3"/>
      <c r="J704" s="10"/>
      <c r="K704" s="10"/>
      <c r="L704" s="10"/>
      <c r="M704" s="10"/>
      <c r="N704" s="10"/>
      <c r="O704" s="13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3"/>
      <c r="J705" s="10"/>
      <c r="K705" s="10"/>
      <c r="L705" s="10"/>
      <c r="M705" s="10"/>
      <c r="N705" s="10"/>
      <c r="O705" s="13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3"/>
      <c r="J706" s="10"/>
      <c r="K706" s="10"/>
      <c r="L706" s="10"/>
      <c r="M706" s="10"/>
      <c r="N706" s="10"/>
      <c r="O706" s="13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3"/>
      <c r="J707" s="10"/>
      <c r="K707" s="10"/>
      <c r="L707" s="10"/>
      <c r="M707" s="10"/>
      <c r="N707" s="10"/>
      <c r="O707" s="13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3"/>
      <c r="J708" s="10"/>
      <c r="K708" s="10"/>
      <c r="L708" s="10"/>
      <c r="M708" s="10"/>
      <c r="N708" s="10"/>
      <c r="O708" s="13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3"/>
      <c r="J709" s="10"/>
      <c r="K709" s="10"/>
      <c r="L709" s="10"/>
      <c r="M709" s="10"/>
      <c r="N709" s="10"/>
      <c r="O709" s="13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3"/>
      <c r="J710" s="10"/>
      <c r="K710" s="10"/>
      <c r="L710" s="10"/>
      <c r="M710" s="10"/>
      <c r="N710" s="10"/>
      <c r="O710" s="13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3"/>
      <c r="J711" s="10"/>
      <c r="K711" s="10"/>
      <c r="L711" s="10"/>
      <c r="M711" s="10"/>
      <c r="N711" s="10"/>
      <c r="O711" s="13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3"/>
      <c r="J712" s="10"/>
      <c r="K712" s="10"/>
      <c r="L712" s="10"/>
      <c r="M712" s="10"/>
      <c r="N712" s="10"/>
      <c r="O712" s="13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3"/>
      <c r="J713" s="10"/>
      <c r="K713" s="10"/>
      <c r="L713" s="10"/>
      <c r="M713" s="10"/>
      <c r="N713" s="10"/>
      <c r="O713" s="13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3"/>
      <c r="J714" s="10"/>
      <c r="K714" s="10"/>
      <c r="L714" s="10"/>
      <c r="M714" s="10"/>
      <c r="N714" s="10"/>
      <c r="O714" s="13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3"/>
      <c r="J715" s="10"/>
      <c r="K715" s="10"/>
      <c r="L715" s="10"/>
      <c r="M715" s="10"/>
      <c r="N715" s="10"/>
      <c r="O715" s="13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3"/>
      <c r="J716" s="10"/>
      <c r="K716" s="10"/>
      <c r="L716" s="10"/>
      <c r="M716" s="10"/>
      <c r="N716" s="10"/>
      <c r="O716" s="13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3"/>
      <c r="J717" s="10"/>
      <c r="K717" s="10"/>
      <c r="L717" s="10"/>
      <c r="M717" s="10"/>
      <c r="N717" s="10"/>
      <c r="O717" s="13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3"/>
      <c r="J718" s="10"/>
      <c r="K718" s="10"/>
      <c r="L718" s="10"/>
      <c r="M718" s="10"/>
      <c r="N718" s="10"/>
      <c r="O718" s="13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3"/>
      <c r="J719" s="10"/>
      <c r="K719" s="10"/>
      <c r="L719" s="10"/>
      <c r="M719" s="10"/>
      <c r="N719" s="10"/>
      <c r="O719" s="13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3"/>
      <c r="J720" s="10"/>
      <c r="K720" s="10"/>
      <c r="L720" s="10"/>
      <c r="M720" s="10"/>
      <c r="N720" s="10"/>
      <c r="O720" s="13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3"/>
      <c r="J721" s="10"/>
      <c r="K721" s="10"/>
      <c r="L721" s="10"/>
      <c r="M721" s="10"/>
      <c r="N721" s="10"/>
      <c r="O721" s="13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3"/>
      <c r="J722" s="10"/>
      <c r="K722" s="10"/>
      <c r="L722" s="10"/>
      <c r="M722" s="10"/>
      <c r="N722" s="10"/>
      <c r="O722" s="13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3"/>
      <c r="J723" s="10"/>
      <c r="K723" s="10"/>
      <c r="L723" s="10"/>
      <c r="M723" s="10"/>
      <c r="N723" s="10"/>
      <c r="O723" s="13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3"/>
      <c r="J724" s="10"/>
      <c r="K724" s="10"/>
      <c r="L724" s="10"/>
      <c r="M724" s="10"/>
      <c r="N724" s="10"/>
      <c r="O724" s="13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3"/>
      <c r="J725" s="10"/>
      <c r="K725" s="10"/>
      <c r="L725" s="10"/>
      <c r="M725" s="10"/>
      <c r="N725" s="10"/>
      <c r="O725" s="13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3"/>
      <c r="J726" s="10"/>
      <c r="K726" s="10"/>
      <c r="L726" s="10"/>
      <c r="M726" s="10"/>
      <c r="N726" s="10"/>
      <c r="O726" s="13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3"/>
      <c r="J727" s="10"/>
      <c r="K727" s="10"/>
      <c r="L727" s="10"/>
      <c r="M727" s="10"/>
      <c r="N727" s="10"/>
      <c r="O727" s="13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3"/>
      <c r="J728" s="10"/>
      <c r="K728" s="10"/>
      <c r="L728" s="10"/>
      <c r="M728" s="10"/>
      <c r="N728" s="10"/>
      <c r="O728" s="13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3"/>
      <c r="J729" s="10"/>
      <c r="K729" s="10"/>
      <c r="L729" s="10"/>
      <c r="M729" s="10"/>
      <c r="N729" s="10"/>
      <c r="O729" s="13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3"/>
      <c r="J730" s="10"/>
      <c r="K730" s="10"/>
      <c r="L730" s="10"/>
      <c r="M730" s="10"/>
      <c r="N730" s="10"/>
      <c r="O730" s="13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3"/>
      <c r="J731" s="10"/>
      <c r="K731" s="10"/>
      <c r="L731" s="10"/>
      <c r="M731" s="10"/>
      <c r="N731" s="10"/>
      <c r="O731" s="13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3"/>
      <c r="J732" s="10"/>
      <c r="K732" s="10"/>
      <c r="L732" s="10"/>
      <c r="M732" s="10"/>
      <c r="N732" s="10"/>
      <c r="O732" s="13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3"/>
      <c r="J733" s="10"/>
      <c r="K733" s="10"/>
      <c r="L733" s="10"/>
      <c r="M733" s="10"/>
      <c r="N733" s="10"/>
      <c r="O733" s="13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3"/>
      <c r="J734" s="10"/>
      <c r="K734" s="10"/>
      <c r="L734" s="10"/>
      <c r="M734" s="10"/>
      <c r="N734" s="10"/>
      <c r="O734" s="13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3"/>
      <c r="J735" s="10"/>
      <c r="K735" s="10"/>
      <c r="L735" s="10"/>
      <c r="M735" s="10"/>
      <c r="N735" s="10"/>
      <c r="O735" s="13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3"/>
      <c r="J736" s="10"/>
      <c r="K736" s="10"/>
      <c r="L736" s="10"/>
      <c r="M736" s="10"/>
      <c r="N736" s="10"/>
      <c r="O736" s="13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3"/>
      <c r="J737" s="10"/>
      <c r="K737" s="10"/>
      <c r="L737" s="10"/>
      <c r="M737" s="10"/>
      <c r="N737" s="10"/>
      <c r="O737" s="13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3"/>
      <c r="J738" s="10"/>
      <c r="K738" s="10"/>
      <c r="L738" s="10"/>
      <c r="M738" s="10"/>
      <c r="N738" s="10"/>
      <c r="O738" s="13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3"/>
      <c r="J739" s="10"/>
      <c r="K739" s="10"/>
      <c r="L739" s="10"/>
      <c r="M739" s="10"/>
      <c r="N739" s="10"/>
      <c r="O739" s="13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3"/>
      <c r="J740" s="10"/>
      <c r="K740" s="10"/>
      <c r="L740" s="10"/>
      <c r="M740" s="10"/>
      <c r="N740" s="10"/>
      <c r="O740" s="13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3"/>
      <c r="J741" s="10"/>
      <c r="K741" s="10"/>
      <c r="L741" s="10"/>
      <c r="M741" s="10"/>
      <c r="N741" s="10"/>
      <c r="O741" s="13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3"/>
      <c r="J742" s="10"/>
      <c r="K742" s="10"/>
      <c r="L742" s="10"/>
      <c r="M742" s="10"/>
      <c r="N742" s="10"/>
      <c r="O742" s="13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3"/>
      <c r="J743" s="10"/>
      <c r="K743" s="10"/>
      <c r="L743" s="10"/>
      <c r="M743" s="10"/>
      <c r="N743" s="10"/>
      <c r="O743" s="13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3"/>
      <c r="J744" s="10"/>
      <c r="K744" s="10"/>
      <c r="L744" s="10"/>
      <c r="M744" s="10"/>
      <c r="N744" s="10"/>
      <c r="O744" s="13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3"/>
      <c r="J745" s="10"/>
      <c r="K745" s="10"/>
      <c r="L745" s="10"/>
      <c r="M745" s="10"/>
      <c r="N745" s="10"/>
      <c r="O745" s="13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3"/>
      <c r="J746" s="10"/>
      <c r="K746" s="10"/>
      <c r="L746" s="10"/>
      <c r="M746" s="10"/>
      <c r="N746" s="10"/>
      <c r="O746" s="13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3"/>
      <c r="J747" s="10"/>
      <c r="K747" s="10"/>
      <c r="L747" s="10"/>
      <c r="M747" s="10"/>
      <c r="N747" s="10"/>
      <c r="O747" s="13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3"/>
      <c r="J748" s="10"/>
      <c r="K748" s="10"/>
      <c r="L748" s="10"/>
      <c r="M748" s="10"/>
      <c r="N748" s="10"/>
      <c r="O748" s="13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3"/>
      <c r="J749" s="10"/>
      <c r="K749" s="10"/>
      <c r="L749" s="10"/>
      <c r="M749" s="10"/>
      <c r="N749" s="10"/>
      <c r="O749" s="13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3"/>
      <c r="J750" s="10"/>
      <c r="K750" s="10"/>
      <c r="L750" s="10"/>
      <c r="M750" s="10"/>
      <c r="N750" s="10"/>
      <c r="O750" s="13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3"/>
      <c r="J751" s="10"/>
      <c r="K751" s="10"/>
      <c r="L751" s="10"/>
      <c r="M751" s="10"/>
      <c r="N751" s="10"/>
      <c r="O751" s="13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3"/>
      <c r="J752" s="10"/>
      <c r="K752" s="10"/>
      <c r="L752" s="10"/>
      <c r="M752" s="10"/>
      <c r="N752" s="10"/>
      <c r="O752" s="13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3"/>
      <c r="J753" s="10"/>
      <c r="K753" s="10"/>
      <c r="L753" s="10"/>
      <c r="M753" s="10"/>
      <c r="N753" s="10"/>
      <c r="O753" s="13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3"/>
      <c r="J754" s="10"/>
      <c r="K754" s="10"/>
      <c r="L754" s="10"/>
      <c r="M754" s="10"/>
      <c r="N754" s="10"/>
      <c r="O754" s="13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3"/>
      <c r="J755" s="10"/>
      <c r="K755" s="10"/>
      <c r="L755" s="10"/>
      <c r="M755" s="10"/>
      <c r="N755" s="10"/>
      <c r="O755" s="13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3"/>
      <c r="J756" s="10"/>
      <c r="K756" s="10"/>
      <c r="L756" s="10"/>
      <c r="M756" s="10"/>
      <c r="N756" s="10"/>
      <c r="O756" s="13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3"/>
      <c r="J757" s="10"/>
      <c r="K757" s="10"/>
      <c r="L757" s="10"/>
      <c r="M757" s="10"/>
      <c r="N757" s="10"/>
      <c r="O757" s="13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3"/>
      <c r="J758" s="10"/>
      <c r="K758" s="10"/>
      <c r="L758" s="10"/>
      <c r="M758" s="10"/>
      <c r="N758" s="10"/>
      <c r="O758" s="13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3"/>
      <c r="J759" s="10"/>
      <c r="K759" s="10"/>
      <c r="L759" s="10"/>
      <c r="M759" s="10"/>
      <c r="N759" s="10"/>
      <c r="O759" s="13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3"/>
      <c r="J760" s="10"/>
      <c r="K760" s="10"/>
      <c r="L760" s="10"/>
      <c r="M760" s="10"/>
      <c r="N760" s="10"/>
      <c r="O760" s="13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3"/>
      <c r="J761" s="10"/>
      <c r="K761" s="10"/>
      <c r="L761" s="10"/>
      <c r="M761" s="10"/>
      <c r="N761" s="10"/>
      <c r="O761" s="13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3"/>
      <c r="J762" s="10"/>
      <c r="K762" s="10"/>
      <c r="L762" s="10"/>
      <c r="M762" s="10"/>
      <c r="N762" s="10"/>
      <c r="O762" s="13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3"/>
      <c r="J763" s="10"/>
      <c r="K763" s="10"/>
      <c r="L763" s="10"/>
      <c r="M763" s="10"/>
      <c r="N763" s="10"/>
      <c r="O763" s="13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3"/>
      <c r="J764" s="10"/>
      <c r="K764" s="10"/>
      <c r="L764" s="10"/>
      <c r="M764" s="10"/>
      <c r="N764" s="10"/>
      <c r="O764" s="13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3"/>
      <c r="J765" s="10"/>
      <c r="K765" s="10"/>
      <c r="L765" s="10"/>
      <c r="M765" s="10"/>
      <c r="N765" s="10"/>
      <c r="O765" s="13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3"/>
      <c r="J766" s="10"/>
      <c r="K766" s="10"/>
      <c r="L766" s="10"/>
      <c r="M766" s="10"/>
      <c r="N766" s="10"/>
      <c r="O766" s="13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3"/>
      <c r="J767" s="10"/>
      <c r="K767" s="10"/>
      <c r="L767" s="10"/>
      <c r="M767" s="10"/>
      <c r="N767" s="10"/>
      <c r="O767" s="13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3"/>
      <c r="J768" s="10"/>
      <c r="K768" s="10"/>
      <c r="L768" s="10"/>
      <c r="M768" s="10"/>
      <c r="N768" s="10"/>
      <c r="O768" s="13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3"/>
      <c r="J769" s="10"/>
      <c r="K769" s="10"/>
      <c r="L769" s="10"/>
      <c r="M769" s="10"/>
      <c r="N769" s="10"/>
      <c r="O769" s="13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3"/>
      <c r="J770" s="10"/>
      <c r="K770" s="10"/>
      <c r="L770" s="10"/>
      <c r="M770" s="10"/>
      <c r="N770" s="10"/>
      <c r="O770" s="13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3"/>
      <c r="J771" s="10"/>
      <c r="K771" s="10"/>
      <c r="L771" s="10"/>
      <c r="M771" s="10"/>
      <c r="N771" s="10"/>
      <c r="O771" s="13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3"/>
      <c r="J772" s="10"/>
      <c r="K772" s="10"/>
      <c r="L772" s="10"/>
      <c r="M772" s="10"/>
      <c r="N772" s="10"/>
      <c r="O772" s="13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3"/>
      <c r="J773" s="10"/>
      <c r="K773" s="10"/>
      <c r="L773" s="10"/>
      <c r="M773" s="10"/>
      <c r="N773" s="10"/>
      <c r="O773" s="13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3"/>
      <c r="J774" s="10"/>
      <c r="K774" s="10"/>
      <c r="L774" s="10"/>
      <c r="M774" s="10"/>
      <c r="N774" s="10"/>
      <c r="O774" s="13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3"/>
      <c r="J775" s="10"/>
      <c r="K775" s="10"/>
      <c r="L775" s="10"/>
      <c r="M775" s="10"/>
      <c r="N775" s="10"/>
      <c r="O775" s="13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3"/>
      <c r="J776" s="10"/>
      <c r="K776" s="10"/>
      <c r="L776" s="10"/>
      <c r="M776" s="10"/>
      <c r="N776" s="10"/>
      <c r="O776" s="13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3"/>
      <c r="J777" s="10"/>
      <c r="K777" s="10"/>
      <c r="L777" s="10"/>
      <c r="M777" s="10"/>
      <c r="N777" s="10"/>
      <c r="O777" s="13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3"/>
      <c r="J778" s="10"/>
      <c r="K778" s="10"/>
      <c r="L778" s="10"/>
      <c r="M778" s="10"/>
      <c r="N778" s="10"/>
      <c r="O778" s="13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3"/>
      <c r="J779" s="10"/>
      <c r="K779" s="10"/>
      <c r="L779" s="10"/>
      <c r="M779" s="10"/>
      <c r="N779" s="10"/>
      <c r="O779" s="13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3"/>
      <c r="J780" s="10"/>
      <c r="K780" s="10"/>
      <c r="L780" s="10"/>
      <c r="M780" s="10"/>
      <c r="N780" s="10"/>
      <c r="O780" s="13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3"/>
      <c r="J781" s="10"/>
      <c r="K781" s="10"/>
      <c r="L781" s="10"/>
      <c r="M781" s="10"/>
      <c r="N781" s="10"/>
      <c r="O781" s="13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3"/>
      <c r="J782" s="10"/>
      <c r="K782" s="10"/>
      <c r="L782" s="10"/>
      <c r="M782" s="10"/>
      <c r="N782" s="10"/>
      <c r="O782" s="13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3"/>
      <c r="J783" s="10"/>
      <c r="K783" s="10"/>
      <c r="L783" s="10"/>
      <c r="M783" s="10"/>
      <c r="N783" s="10"/>
      <c r="O783" s="13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3"/>
      <c r="J784" s="10"/>
      <c r="K784" s="10"/>
      <c r="L784" s="10"/>
      <c r="M784" s="10"/>
      <c r="N784" s="10"/>
      <c r="O784" s="13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3"/>
      <c r="J785" s="10"/>
      <c r="K785" s="10"/>
      <c r="L785" s="10"/>
      <c r="M785" s="10"/>
      <c r="N785" s="10"/>
      <c r="O785" s="13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3"/>
      <c r="J786" s="10"/>
      <c r="K786" s="10"/>
      <c r="L786" s="10"/>
      <c r="M786" s="10"/>
      <c r="N786" s="10"/>
      <c r="O786" s="13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3"/>
      <c r="J787" s="10"/>
      <c r="K787" s="10"/>
      <c r="L787" s="10"/>
      <c r="M787" s="10"/>
      <c r="N787" s="10"/>
      <c r="O787" s="13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3"/>
      <c r="J788" s="10"/>
      <c r="K788" s="10"/>
      <c r="L788" s="10"/>
      <c r="M788" s="10"/>
      <c r="N788" s="10"/>
      <c r="O788" s="13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3"/>
      <c r="J789" s="10"/>
      <c r="K789" s="10"/>
      <c r="L789" s="10"/>
      <c r="M789" s="10"/>
      <c r="N789" s="10"/>
      <c r="O789" s="13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3"/>
      <c r="J790" s="10"/>
      <c r="K790" s="10"/>
      <c r="L790" s="10"/>
      <c r="M790" s="10"/>
      <c r="N790" s="10"/>
      <c r="O790" s="13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3"/>
      <c r="J791" s="10"/>
      <c r="K791" s="10"/>
      <c r="L791" s="10"/>
      <c r="M791" s="10"/>
      <c r="N791" s="10"/>
      <c r="O791" s="13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3"/>
      <c r="J792" s="10"/>
      <c r="K792" s="10"/>
      <c r="L792" s="10"/>
      <c r="M792" s="10"/>
      <c r="N792" s="10"/>
      <c r="O792" s="13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3"/>
      <c r="J793" s="10"/>
      <c r="K793" s="10"/>
      <c r="L793" s="10"/>
      <c r="M793" s="10"/>
      <c r="N793" s="10"/>
      <c r="O793" s="13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3"/>
      <c r="J794" s="10"/>
      <c r="K794" s="10"/>
      <c r="L794" s="10"/>
      <c r="M794" s="10"/>
      <c r="N794" s="10"/>
      <c r="O794" s="13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3"/>
      <c r="J795" s="10"/>
      <c r="K795" s="10"/>
      <c r="L795" s="10"/>
      <c r="M795" s="10"/>
      <c r="N795" s="10"/>
      <c r="O795" s="13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3"/>
      <c r="J796" s="10"/>
      <c r="K796" s="10"/>
      <c r="L796" s="10"/>
      <c r="M796" s="10"/>
      <c r="N796" s="10"/>
      <c r="O796" s="13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3"/>
      <c r="J797" s="10"/>
      <c r="K797" s="10"/>
      <c r="L797" s="10"/>
      <c r="M797" s="10"/>
      <c r="N797" s="10"/>
      <c r="O797" s="13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3"/>
      <c r="J798" s="10"/>
      <c r="K798" s="10"/>
      <c r="L798" s="10"/>
      <c r="M798" s="10"/>
      <c r="N798" s="10"/>
      <c r="O798" s="13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3"/>
      <c r="J799" s="10"/>
      <c r="K799" s="10"/>
      <c r="L799" s="10"/>
      <c r="M799" s="10"/>
      <c r="N799" s="10"/>
      <c r="O799" s="13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3"/>
      <c r="J800" s="10"/>
      <c r="K800" s="10"/>
      <c r="L800" s="10"/>
      <c r="M800" s="10"/>
      <c r="N800" s="10"/>
      <c r="O800" s="13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3"/>
      <c r="J801" s="10"/>
      <c r="K801" s="10"/>
      <c r="L801" s="10"/>
      <c r="M801" s="10"/>
      <c r="N801" s="10"/>
      <c r="O801" s="13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3"/>
      <c r="J802" s="10"/>
      <c r="K802" s="10"/>
      <c r="L802" s="10"/>
      <c r="M802" s="10"/>
      <c r="N802" s="10"/>
      <c r="O802" s="13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3"/>
      <c r="J803" s="10"/>
      <c r="K803" s="10"/>
      <c r="L803" s="10"/>
      <c r="M803" s="10"/>
      <c r="N803" s="10"/>
      <c r="O803" s="13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3"/>
      <c r="J804" s="10"/>
      <c r="K804" s="10"/>
      <c r="L804" s="10"/>
      <c r="M804" s="10"/>
      <c r="N804" s="10"/>
      <c r="O804" s="13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3"/>
      <c r="J805" s="10"/>
      <c r="K805" s="10"/>
      <c r="L805" s="10"/>
      <c r="M805" s="10"/>
      <c r="N805" s="10"/>
      <c r="O805" s="13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3"/>
      <c r="J806" s="10"/>
      <c r="K806" s="10"/>
      <c r="L806" s="10"/>
      <c r="M806" s="10"/>
      <c r="N806" s="10"/>
      <c r="O806" s="13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3"/>
      <c r="J807" s="10"/>
      <c r="K807" s="10"/>
      <c r="L807" s="10"/>
      <c r="M807" s="10"/>
      <c r="N807" s="10"/>
      <c r="O807" s="13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3"/>
      <c r="J808" s="10"/>
      <c r="K808" s="10"/>
      <c r="L808" s="10"/>
      <c r="M808" s="10"/>
      <c r="N808" s="10"/>
      <c r="O808" s="13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3"/>
      <c r="J809" s="10"/>
      <c r="K809" s="10"/>
      <c r="L809" s="10"/>
      <c r="M809" s="10"/>
      <c r="N809" s="10"/>
      <c r="O809" s="13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3"/>
      <c r="J810" s="10"/>
      <c r="K810" s="10"/>
      <c r="L810" s="10"/>
      <c r="M810" s="10"/>
      <c r="N810" s="10"/>
      <c r="O810" s="13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3"/>
      <c r="J811" s="10"/>
      <c r="K811" s="10"/>
      <c r="L811" s="10"/>
      <c r="M811" s="10"/>
      <c r="N811" s="10"/>
      <c r="O811" s="13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3"/>
      <c r="J812" s="10"/>
      <c r="K812" s="10"/>
      <c r="L812" s="10"/>
      <c r="M812" s="10"/>
      <c r="N812" s="10"/>
      <c r="O812" s="13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3"/>
      <c r="J813" s="10"/>
      <c r="K813" s="10"/>
      <c r="L813" s="10"/>
      <c r="M813" s="10"/>
      <c r="N813" s="10"/>
      <c r="O813" s="13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3"/>
      <c r="J814" s="10"/>
      <c r="K814" s="10"/>
      <c r="L814" s="10"/>
      <c r="M814" s="10"/>
      <c r="N814" s="10"/>
      <c r="O814" s="13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3"/>
      <c r="J815" s="10"/>
      <c r="K815" s="10"/>
      <c r="L815" s="10"/>
      <c r="M815" s="10"/>
      <c r="N815" s="10"/>
      <c r="O815" s="13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3"/>
      <c r="J816" s="10"/>
      <c r="K816" s="10"/>
      <c r="L816" s="10"/>
      <c r="M816" s="10"/>
      <c r="N816" s="10"/>
      <c r="O816" s="13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3"/>
      <c r="J817" s="10"/>
      <c r="K817" s="10"/>
      <c r="L817" s="10"/>
      <c r="M817" s="10"/>
      <c r="N817" s="10"/>
      <c r="O817" s="13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3"/>
      <c r="J818" s="10"/>
      <c r="K818" s="10"/>
      <c r="L818" s="10"/>
      <c r="M818" s="10"/>
      <c r="N818" s="10"/>
      <c r="O818" s="13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3"/>
      <c r="J819" s="10"/>
      <c r="K819" s="10"/>
      <c r="L819" s="10"/>
      <c r="M819" s="10"/>
      <c r="N819" s="10"/>
      <c r="O819" s="13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3"/>
      <c r="J820" s="10"/>
      <c r="K820" s="10"/>
      <c r="L820" s="10"/>
      <c r="M820" s="10"/>
      <c r="N820" s="10"/>
      <c r="O820" s="13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3"/>
      <c r="J821" s="10"/>
      <c r="K821" s="10"/>
      <c r="L821" s="10"/>
      <c r="M821" s="10"/>
      <c r="N821" s="10"/>
      <c r="O821" s="13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3"/>
      <c r="J822" s="10"/>
      <c r="K822" s="10"/>
      <c r="L822" s="10"/>
      <c r="M822" s="10"/>
      <c r="N822" s="10"/>
      <c r="O822" s="13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3"/>
      <c r="J823" s="10"/>
      <c r="K823" s="10"/>
      <c r="L823" s="10"/>
      <c r="M823" s="10"/>
      <c r="N823" s="10"/>
      <c r="O823" s="13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3"/>
      <c r="J824" s="10"/>
      <c r="K824" s="10"/>
      <c r="L824" s="10"/>
      <c r="M824" s="10"/>
      <c r="N824" s="10"/>
      <c r="O824" s="13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3"/>
      <c r="J825" s="10"/>
      <c r="K825" s="10"/>
      <c r="L825" s="10"/>
      <c r="M825" s="10"/>
      <c r="N825" s="10"/>
      <c r="O825" s="13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3"/>
      <c r="J826" s="10"/>
      <c r="K826" s="10"/>
      <c r="L826" s="10"/>
      <c r="M826" s="10"/>
      <c r="N826" s="10"/>
      <c r="O826" s="13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3"/>
      <c r="J827" s="10"/>
      <c r="K827" s="10"/>
      <c r="L827" s="10"/>
      <c r="M827" s="10"/>
      <c r="N827" s="10"/>
      <c r="O827" s="13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3"/>
      <c r="J828" s="10"/>
      <c r="K828" s="10"/>
      <c r="L828" s="10"/>
      <c r="M828" s="10"/>
      <c r="N828" s="10"/>
      <c r="O828" s="13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3"/>
      <c r="J829" s="10"/>
      <c r="K829" s="10"/>
      <c r="L829" s="10"/>
      <c r="M829" s="10"/>
      <c r="N829" s="10"/>
      <c r="O829" s="13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3"/>
      <c r="J830" s="10"/>
      <c r="K830" s="10"/>
      <c r="L830" s="10"/>
      <c r="M830" s="10"/>
      <c r="N830" s="10"/>
      <c r="O830" s="13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3"/>
      <c r="J831" s="10"/>
      <c r="K831" s="10"/>
      <c r="L831" s="10"/>
      <c r="M831" s="10"/>
      <c r="N831" s="10"/>
      <c r="O831" s="13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3"/>
      <c r="J832" s="10"/>
      <c r="K832" s="10"/>
      <c r="L832" s="10"/>
      <c r="M832" s="10"/>
      <c r="N832" s="10"/>
      <c r="O832" s="13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3"/>
      <c r="J833" s="10"/>
      <c r="K833" s="10"/>
      <c r="L833" s="10"/>
      <c r="M833" s="10"/>
      <c r="N833" s="10"/>
      <c r="O833" s="13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3"/>
      <c r="J834" s="10"/>
      <c r="K834" s="10"/>
      <c r="L834" s="10"/>
      <c r="M834" s="10"/>
      <c r="N834" s="10"/>
      <c r="O834" s="13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3"/>
      <c r="J835" s="10"/>
      <c r="K835" s="10"/>
      <c r="L835" s="10"/>
      <c r="M835" s="10"/>
      <c r="N835" s="10"/>
      <c r="O835" s="13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3"/>
      <c r="J836" s="10"/>
      <c r="K836" s="10"/>
      <c r="L836" s="10"/>
      <c r="M836" s="10"/>
      <c r="N836" s="10"/>
      <c r="O836" s="13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3"/>
      <c r="J837" s="10"/>
      <c r="K837" s="10"/>
      <c r="L837" s="10"/>
      <c r="M837" s="10"/>
      <c r="N837" s="10"/>
      <c r="O837" s="13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3"/>
      <c r="J838" s="10"/>
      <c r="K838" s="10"/>
      <c r="L838" s="10"/>
      <c r="M838" s="10"/>
      <c r="N838" s="10"/>
      <c r="O838" s="13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3"/>
      <c r="J839" s="10"/>
      <c r="K839" s="10"/>
      <c r="L839" s="10"/>
      <c r="M839" s="10"/>
      <c r="N839" s="10"/>
      <c r="O839" s="13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3"/>
      <c r="J840" s="10"/>
      <c r="K840" s="10"/>
      <c r="L840" s="10"/>
      <c r="M840" s="10"/>
      <c r="N840" s="10"/>
      <c r="O840" s="13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3"/>
      <c r="J841" s="10"/>
      <c r="K841" s="10"/>
      <c r="L841" s="10"/>
      <c r="M841" s="10"/>
      <c r="N841" s="10"/>
      <c r="O841" s="13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3"/>
      <c r="J842" s="10"/>
      <c r="K842" s="10"/>
      <c r="L842" s="10"/>
      <c r="M842" s="10"/>
      <c r="N842" s="10"/>
      <c r="O842" s="13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3"/>
      <c r="J843" s="10"/>
      <c r="K843" s="10"/>
      <c r="L843" s="10"/>
      <c r="M843" s="10"/>
      <c r="N843" s="10"/>
      <c r="O843" s="13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3"/>
      <c r="J844" s="10"/>
      <c r="K844" s="10"/>
      <c r="L844" s="10"/>
      <c r="M844" s="10"/>
      <c r="N844" s="10"/>
      <c r="O844" s="13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3"/>
      <c r="J845" s="10"/>
      <c r="K845" s="10"/>
      <c r="L845" s="10"/>
      <c r="M845" s="10"/>
      <c r="N845" s="10"/>
      <c r="O845" s="13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3"/>
      <c r="J846" s="10"/>
      <c r="K846" s="10"/>
      <c r="L846" s="10"/>
      <c r="M846" s="10"/>
      <c r="N846" s="10"/>
      <c r="O846" s="13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3"/>
      <c r="J847" s="10"/>
      <c r="K847" s="10"/>
      <c r="L847" s="10"/>
      <c r="M847" s="10"/>
      <c r="N847" s="10"/>
      <c r="O847" s="13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3"/>
      <c r="J848" s="10"/>
      <c r="K848" s="10"/>
      <c r="L848" s="10"/>
      <c r="M848" s="10"/>
      <c r="N848" s="10"/>
      <c r="O848" s="13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3"/>
      <c r="J849" s="10"/>
      <c r="K849" s="10"/>
      <c r="L849" s="10"/>
      <c r="M849" s="10"/>
      <c r="N849" s="10"/>
      <c r="O849" s="13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3"/>
      <c r="J850" s="10"/>
      <c r="K850" s="10"/>
      <c r="L850" s="10"/>
      <c r="M850" s="10"/>
      <c r="N850" s="10"/>
      <c r="O850" s="13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3"/>
      <c r="J851" s="10"/>
      <c r="K851" s="10"/>
      <c r="L851" s="10"/>
      <c r="M851" s="10"/>
      <c r="N851" s="10"/>
      <c r="O851" s="13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3"/>
      <c r="J852" s="10"/>
      <c r="K852" s="10"/>
      <c r="L852" s="10"/>
      <c r="M852" s="10"/>
      <c r="N852" s="10"/>
      <c r="O852" s="13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3"/>
      <c r="J853" s="10"/>
      <c r="K853" s="10"/>
      <c r="L853" s="10"/>
      <c r="M853" s="10"/>
      <c r="N853" s="10"/>
      <c r="O853" s="13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3"/>
      <c r="J854" s="10"/>
      <c r="K854" s="10"/>
      <c r="L854" s="10"/>
      <c r="M854" s="10"/>
      <c r="N854" s="10"/>
      <c r="O854" s="13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3"/>
      <c r="J855" s="10"/>
      <c r="K855" s="10"/>
      <c r="L855" s="10"/>
      <c r="M855" s="10"/>
      <c r="N855" s="10"/>
      <c r="O855" s="13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3"/>
      <c r="J856" s="10"/>
      <c r="K856" s="10"/>
      <c r="L856" s="10"/>
      <c r="M856" s="10"/>
      <c r="N856" s="10"/>
      <c r="O856" s="13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3"/>
      <c r="J857" s="10"/>
      <c r="K857" s="10"/>
      <c r="L857" s="10"/>
      <c r="M857" s="10"/>
      <c r="N857" s="10"/>
      <c r="O857" s="13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3"/>
      <c r="J858" s="10"/>
      <c r="K858" s="10"/>
      <c r="L858" s="10"/>
      <c r="M858" s="10"/>
      <c r="N858" s="10"/>
      <c r="O858" s="13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3"/>
      <c r="J859" s="10"/>
      <c r="K859" s="10"/>
      <c r="L859" s="10"/>
      <c r="M859" s="10"/>
      <c r="N859" s="10"/>
      <c r="O859" s="13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3"/>
      <c r="J860" s="10"/>
      <c r="K860" s="10"/>
      <c r="L860" s="10"/>
      <c r="M860" s="10"/>
      <c r="N860" s="10"/>
      <c r="O860" s="13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3"/>
      <c r="J861" s="10"/>
      <c r="K861" s="10"/>
      <c r="L861" s="10"/>
      <c r="M861" s="10"/>
      <c r="N861" s="10"/>
      <c r="O861" s="13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3"/>
      <c r="J862" s="10"/>
      <c r="K862" s="10"/>
      <c r="L862" s="10"/>
      <c r="M862" s="10"/>
      <c r="N862" s="10"/>
      <c r="O862" s="13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3"/>
      <c r="J863" s="10"/>
      <c r="K863" s="10"/>
      <c r="L863" s="10"/>
      <c r="M863" s="10"/>
      <c r="N863" s="10"/>
      <c r="O863" s="13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3"/>
      <c r="J864" s="10"/>
      <c r="K864" s="10"/>
      <c r="L864" s="10"/>
      <c r="M864" s="10"/>
      <c r="N864" s="10"/>
      <c r="O864" s="13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3"/>
      <c r="J865" s="10"/>
      <c r="K865" s="10"/>
      <c r="L865" s="10"/>
      <c r="M865" s="10"/>
      <c r="N865" s="10"/>
      <c r="O865" s="13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3"/>
      <c r="J866" s="10"/>
      <c r="K866" s="10"/>
      <c r="L866" s="10"/>
      <c r="M866" s="10"/>
      <c r="N866" s="10"/>
      <c r="O866" s="13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3"/>
      <c r="J867" s="10"/>
      <c r="K867" s="10"/>
      <c r="L867" s="10"/>
      <c r="M867" s="10"/>
      <c r="N867" s="10"/>
      <c r="O867" s="13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3"/>
      <c r="J868" s="10"/>
      <c r="K868" s="10"/>
      <c r="L868" s="10"/>
      <c r="M868" s="10"/>
      <c r="N868" s="10"/>
      <c r="O868" s="13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3"/>
      <c r="J869" s="10"/>
      <c r="K869" s="10"/>
      <c r="L869" s="10"/>
      <c r="M869" s="10"/>
      <c r="N869" s="10"/>
      <c r="O869" s="13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3"/>
      <c r="J870" s="10"/>
      <c r="K870" s="10"/>
      <c r="L870" s="10"/>
      <c r="M870" s="10"/>
      <c r="N870" s="10"/>
      <c r="O870" s="13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3"/>
      <c r="J871" s="10"/>
      <c r="K871" s="10"/>
      <c r="L871" s="10"/>
      <c r="M871" s="10"/>
      <c r="N871" s="10"/>
      <c r="O871" s="13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3"/>
      <c r="J872" s="10"/>
      <c r="K872" s="10"/>
      <c r="L872" s="10"/>
      <c r="M872" s="10"/>
      <c r="N872" s="10"/>
      <c r="O872" s="13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3"/>
      <c r="J873" s="10"/>
      <c r="K873" s="10"/>
      <c r="L873" s="10"/>
      <c r="M873" s="10"/>
      <c r="N873" s="10"/>
      <c r="O873" s="13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3"/>
      <c r="J874" s="10"/>
      <c r="K874" s="10"/>
      <c r="L874" s="10"/>
      <c r="M874" s="10"/>
      <c r="N874" s="10"/>
      <c r="O874" s="13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3"/>
      <c r="J875" s="10"/>
      <c r="K875" s="10"/>
      <c r="L875" s="10"/>
      <c r="M875" s="10"/>
      <c r="N875" s="10"/>
      <c r="O875" s="13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3"/>
      <c r="J876" s="10"/>
      <c r="K876" s="10"/>
      <c r="L876" s="10"/>
      <c r="M876" s="10"/>
      <c r="N876" s="10"/>
      <c r="O876" s="13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3"/>
      <c r="J877" s="10"/>
      <c r="K877" s="10"/>
      <c r="L877" s="10"/>
      <c r="M877" s="10"/>
      <c r="N877" s="10"/>
      <c r="O877" s="13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3"/>
      <c r="J878" s="10"/>
      <c r="K878" s="10"/>
      <c r="L878" s="10"/>
      <c r="M878" s="10"/>
      <c r="N878" s="10"/>
      <c r="O878" s="13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3"/>
      <c r="J879" s="10"/>
      <c r="K879" s="10"/>
      <c r="L879" s="10"/>
      <c r="M879" s="10"/>
      <c r="N879" s="10"/>
      <c r="O879" s="13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3"/>
      <c r="J880" s="10"/>
      <c r="K880" s="10"/>
      <c r="L880" s="10"/>
      <c r="M880" s="10"/>
      <c r="N880" s="10"/>
      <c r="O880" s="13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3"/>
      <c r="J881" s="10"/>
      <c r="K881" s="10"/>
      <c r="L881" s="10"/>
      <c r="M881" s="10"/>
      <c r="N881" s="10"/>
      <c r="O881" s="13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3"/>
      <c r="J882" s="10"/>
      <c r="K882" s="10"/>
      <c r="L882" s="10"/>
      <c r="M882" s="10"/>
      <c r="N882" s="10"/>
      <c r="O882" s="13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3"/>
      <c r="J883" s="10"/>
      <c r="K883" s="10"/>
      <c r="L883" s="10"/>
      <c r="M883" s="10"/>
      <c r="N883" s="10"/>
      <c r="O883" s="13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3"/>
      <c r="J884" s="10"/>
      <c r="K884" s="10"/>
      <c r="L884" s="10"/>
      <c r="M884" s="10"/>
      <c r="N884" s="10"/>
      <c r="O884" s="13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3"/>
      <c r="J885" s="10"/>
      <c r="K885" s="10"/>
      <c r="L885" s="10"/>
      <c r="M885" s="10"/>
      <c r="N885" s="10"/>
      <c r="O885" s="13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3"/>
      <c r="J886" s="10"/>
      <c r="K886" s="10"/>
      <c r="L886" s="10"/>
      <c r="M886" s="10"/>
      <c r="N886" s="10"/>
      <c r="O886" s="13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3"/>
      <c r="J887" s="10"/>
      <c r="K887" s="10"/>
      <c r="L887" s="10"/>
      <c r="M887" s="10"/>
      <c r="N887" s="10"/>
      <c r="O887" s="13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3"/>
      <c r="J888" s="10"/>
      <c r="K888" s="10"/>
      <c r="L888" s="10"/>
      <c r="M888" s="10"/>
      <c r="N888" s="10"/>
      <c r="O888" s="13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3"/>
      <c r="J889" s="10"/>
      <c r="K889" s="10"/>
      <c r="L889" s="10"/>
      <c r="M889" s="10"/>
      <c r="N889" s="10"/>
      <c r="O889" s="13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3"/>
      <c r="J890" s="10"/>
      <c r="K890" s="10"/>
      <c r="L890" s="10"/>
      <c r="M890" s="10"/>
      <c r="N890" s="10"/>
      <c r="O890" s="13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3"/>
      <c r="J891" s="10"/>
      <c r="K891" s="10"/>
      <c r="L891" s="10"/>
      <c r="M891" s="10"/>
      <c r="N891" s="10"/>
      <c r="O891" s="13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3"/>
      <c r="J892" s="10"/>
      <c r="K892" s="10"/>
      <c r="L892" s="10"/>
      <c r="M892" s="10"/>
      <c r="N892" s="10"/>
      <c r="O892" s="13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3"/>
      <c r="J893" s="10"/>
      <c r="K893" s="10"/>
      <c r="L893" s="10"/>
      <c r="M893" s="10"/>
      <c r="N893" s="10"/>
      <c r="O893" s="13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3"/>
      <c r="J894" s="10"/>
      <c r="K894" s="10"/>
      <c r="L894" s="10"/>
      <c r="M894" s="10"/>
      <c r="N894" s="10"/>
      <c r="O894" s="13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3"/>
      <c r="J895" s="10"/>
      <c r="K895" s="10"/>
      <c r="L895" s="10"/>
      <c r="M895" s="10"/>
      <c r="N895" s="10"/>
      <c r="O895" s="13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3"/>
      <c r="J896" s="10"/>
      <c r="K896" s="10"/>
      <c r="L896" s="10"/>
      <c r="M896" s="10"/>
      <c r="N896" s="10"/>
      <c r="O896" s="13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3"/>
      <c r="J897" s="10"/>
      <c r="K897" s="10"/>
      <c r="L897" s="10"/>
      <c r="M897" s="10"/>
      <c r="N897" s="10"/>
      <c r="O897" s="13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3"/>
      <c r="J898" s="10"/>
      <c r="K898" s="10"/>
      <c r="L898" s="10"/>
      <c r="M898" s="10"/>
      <c r="N898" s="10"/>
      <c r="O898" s="13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3"/>
      <c r="J899" s="10"/>
      <c r="K899" s="10"/>
      <c r="L899" s="10"/>
      <c r="M899" s="10"/>
      <c r="N899" s="10"/>
      <c r="O899" s="13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3"/>
      <c r="J900" s="10"/>
      <c r="K900" s="10"/>
      <c r="L900" s="10"/>
      <c r="M900" s="10"/>
      <c r="N900" s="10"/>
      <c r="O900" s="13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3"/>
      <c r="J901" s="10"/>
      <c r="K901" s="10"/>
      <c r="L901" s="10"/>
      <c r="M901" s="10"/>
      <c r="N901" s="10"/>
      <c r="O901" s="13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3"/>
      <c r="J902" s="10"/>
      <c r="K902" s="10"/>
      <c r="L902" s="10"/>
      <c r="M902" s="10"/>
      <c r="N902" s="10"/>
      <c r="O902" s="13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3"/>
      <c r="J903" s="10"/>
      <c r="K903" s="10"/>
      <c r="L903" s="10"/>
      <c r="M903" s="10"/>
      <c r="N903" s="10"/>
      <c r="O903" s="13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3"/>
      <c r="J904" s="10"/>
      <c r="K904" s="10"/>
      <c r="L904" s="10"/>
      <c r="M904" s="10"/>
      <c r="N904" s="10"/>
      <c r="O904" s="13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3"/>
      <c r="J905" s="10"/>
      <c r="K905" s="10"/>
      <c r="L905" s="10"/>
      <c r="M905" s="10"/>
      <c r="N905" s="10"/>
      <c r="O905" s="13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3"/>
      <c r="J906" s="10"/>
      <c r="K906" s="10"/>
      <c r="L906" s="10"/>
      <c r="M906" s="10"/>
      <c r="N906" s="10"/>
      <c r="O906" s="13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3"/>
      <c r="J907" s="10"/>
      <c r="K907" s="10"/>
      <c r="L907" s="10"/>
      <c r="M907" s="10"/>
      <c r="N907" s="10"/>
      <c r="O907" s="13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3"/>
      <c r="J908" s="10"/>
      <c r="K908" s="10"/>
      <c r="L908" s="10"/>
      <c r="M908" s="10"/>
      <c r="N908" s="10"/>
      <c r="O908" s="13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3"/>
      <c r="J909" s="10"/>
      <c r="K909" s="10"/>
      <c r="L909" s="10"/>
      <c r="M909" s="10"/>
      <c r="N909" s="10"/>
      <c r="O909" s="13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3"/>
      <c r="J910" s="10"/>
      <c r="K910" s="10"/>
      <c r="L910" s="10"/>
      <c r="M910" s="10"/>
      <c r="N910" s="10"/>
      <c r="O910" s="13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3"/>
      <c r="J911" s="10"/>
      <c r="K911" s="10"/>
      <c r="L911" s="10"/>
      <c r="M911" s="10"/>
      <c r="N911" s="10"/>
      <c r="O911" s="13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3"/>
      <c r="J912" s="10"/>
      <c r="K912" s="10"/>
      <c r="L912" s="10"/>
      <c r="M912" s="10"/>
      <c r="N912" s="10"/>
      <c r="O912" s="13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3"/>
      <c r="J913" s="10"/>
      <c r="K913" s="10"/>
      <c r="L913" s="10"/>
      <c r="M913" s="10"/>
      <c r="N913" s="10"/>
      <c r="O913" s="13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3"/>
      <c r="J914" s="10"/>
      <c r="K914" s="10"/>
      <c r="L914" s="10"/>
      <c r="M914" s="10"/>
      <c r="N914" s="10"/>
      <c r="O914" s="13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3"/>
      <c r="J915" s="10"/>
      <c r="K915" s="10"/>
      <c r="L915" s="10"/>
      <c r="M915" s="10"/>
      <c r="N915" s="10"/>
      <c r="O915" s="13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3"/>
      <c r="J916" s="10"/>
      <c r="K916" s="10"/>
      <c r="L916" s="10"/>
      <c r="M916" s="10"/>
      <c r="N916" s="10"/>
      <c r="O916" s="13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3"/>
      <c r="J917" s="10"/>
      <c r="K917" s="10"/>
      <c r="L917" s="10"/>
      <c r="M917" s="10"/>
      <c r="N917" s="10"/>
      <c r="O917" s="13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3"/>
      <c r="J918" s="10"/>
      <c r="K918" s="10"/>
      <c r="L918" s="10"/>
      <c r="M918" s="10"/>
      <c r="N918" s="10"/>
      <c r="O918" s="13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3"/>
      <c r="J919" s="10"/>
      <c r="K919" s="10"/>
      <c r="L919" s="10"/>
      <c r="M919" s="10"/>
      <c r="N919" s="10"/>
      <c r="O919" s="13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3"/>
      <c r="J920" s="10"/>
      <c r="K920" s="10"/>
      <c r="L920" s="10"/>
      <c r="M920" s="10"/>
      <c r="N920" s="10"/>
      <c r="O920" s="13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3"/>
      <c r="J921" s="10"/>
      <c r="K921" s="10"/>
      <c r="L921" s="10"/>
      <c r="M921" s="10"/>
      <c r="N921" s="10"/>
      <c r="O921" s="13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3"/>
      <c r="J922" s="10"/>
      <c r="K922" s="10"/>
      <c r="L922" s="10"/>
      <c r="M922" s="10"/>
      <c r="N922" s="10"/>
      <c r="O922" s="13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3"/>
      <c r="J923" s="10"/>
      <c r="K923" s="10"/>
      <c r="L923" s="10"/>
      <c r="M923" s="10"/>
      <c r="N923" s="10"/>
      <c r="O923" s="13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3"/>
      <c r="J924" s="10"/>
      <c r="K924" s="10"/>
      <c r="L924" s="10"/>
      <c r="M924" s="10"/>
      <c r="N924" s="10"/>
      <c r="O924" s="13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3"/>
      <c r="J925" s="10"/>
      <c r="K925" s="10"/>
      <c r="L925" s="10"/>
      <c r="M925" s="10"/>
      <c r="N925" s="10"/>
      <c r="O925" s="13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3"/>
      <c r="J926" s="10"/>
      <c r="K926" s="10"/>
      <c r="L926" s="10"/>
      <c r="M926" s="10"/>
      <c r="N926" s="10"/>
      <c r="O926" s="13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3"/>
      <c r="J927" s="10"/>
      <c r="K927" s="10"/>
      <c r="L927" s="10"/>
      <c r="M927" s="10"/>
      <c r="N927" s="10"/>
      <c r="O927" s="13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3"/>
      <c r="J928" s="10"/>
      <c r="K928" s="10"/>
      <c r="L928" s="10"/>
      <c r="M928" s="10"/>
      <c r="N928" s="10"/>
      <c r="O928" s="13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3"/>
      <c r="J929" s="10"/>
      <c r="K929" s="10"/>
      <c r="L929" s="10"/>
      <c r="M929" s="10"/>
      <c r="N929" s="10"/>
      <c r="O929" s="13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3"/>
      <c r="J930" s="10"/>
      <c r="K930" s="10"/>
      <c r="L930" s="10"/>
      <c r="M930" s="10"/>
      <c r="N930" s="10"/>
      <c r="O930" s="13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3"/>
      <c r="J931" s="10"/>
      <c r="K931" s="10"/>
      <c r="L931" s="10"/>
      <c r="M931" s="10"/>
      <c r="N931" s="10"/>
      <c r="O931" s="13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3"/>
      <c r="J932" s="10"/>
      <c r="K932" s="10"/>
      <c r="L932" s="10"/>
      <c r="M932" s="10"/>
      <c r="N932" s="10"/>
      <c r="O932" s="13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3"/>
      <c r="J933" s="10"/>
      <c r="K933" s="10"/>
      <c r="L933" s="10"/>
      <c r="M933" s="10"/>
      <c r="N933" s="10"/>
      <c r="O933" s="13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3"/>
      <c r="J934" s="10"/>
      <c r="K934" s="10"/>
      <c r="L934" s="10"/>
      <c r="M934" s="10"/>
      <c r="N934" s="10"/>
      <c r="O934" s="13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3"/>
      <c r="J935" s="10"/>
      <c r="K935" s="10"/>
      <c r="L935" s="10"/>
      <c r="M935" s="10"/>
      <c r="N935" s="10"/>
      <c r="O935" s="13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3"/>
      <c r="J936" s="10"/>
      <c r="K936" s="10"/>
      <c r="L936" s="10"/>
      <c r="M936" s="10"/>
      <c r="N936" s="10"/>
      <c r="O936" s="13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3"/>
      <c r="J937" s="10"/>
      <c r="K937" s="10"/>
      <c r="L937" s="10"/>
      <c r="M937" s="10"/>
      <c r="N937" s="10"/>
      <c r="O937" s="13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3"/>
      <c r="J938" s="10"/>
      <c r="K938" s="10"/>
      <c r="L938" s="10"/>
      <c r="M938" s="10"/>
      <c r="N938" s="10"/>
      <c r="O938" s="13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3"/>
      <c r="J939" s="10"/>
      <c r="K939" s="10"/>
      <c r="L939" s="10"/>
      <c r="M939" s="10"/>
      <c r="N939" s="10"/>
      <c r="O939" s="13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3"/>
      <c r="J940" s="10"/>
      <c r="K940" s="10"/>
      <c r="L940" s="10"/>
      <c r="M940" s="10"/>
      <c r="N940" s="10"/>
      <c r="O940" s="13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3"/>
      <c r="J941" s="10"/>
      <c r="K941" s="10"/>
      <c r="L941" s="10"/>
      <c r="M941" s="10"/>
      <c r="N941" s="10"/>
      <c r="O941" s="13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3"/>
      <c r="J942" s="10"/>
      <c r="K942" s="10"/>
      <c r="L942" s="10"/>
      <c r="M942" s="10"/>
      <c r="N942" s="10"/>
      <c r="O942" s="13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3"/>
      <c r="J943" s="10"/>
      <c r="K943" s="10"/>
      <c r="L943" s="10"/>
      <c r="M943" s="10"/>
      <c r="N943" s="10"/>
      <c r="O943" s="13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3"/>
      <c r="J944" s="10"/>
      <c r="K944" s="10"/>
      <c r="L944" s="10"/>
      <c r="M944" s="10"/>
      <c r="N944" s="10"/>
      <c r="O944" s="13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3"/>
      <c r="J945" s="10"/>
      <c r="K945" s="10"/>
      <c r="L945" s="10"/>
      <c r="M945" s="10"/>
      <c r="N945" s="10"/>
      <c r="O945" s="13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3"/>
      <c r="J946" s="10"/>
      <c r="K946" s="10"/>
      <c r="L946" s="10"/>
      <c r="M946" s="10"/>
      <c r="N946" s="10"/>
      <c r="O946" s="13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3"/>
      <c r="J947" s="10"/>
      <c r="K947" s="10"/>
      <c r="L947" s="10"/>
      <c r="M947" s="10"/>
      <c r="N947" s="10"/>
      <c r="O947" s="13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3"/>
      <c r="J948" s="10"/>
      <c r="K948" s="10"/>
      <c r="L948" s="10"/>
      <c r="M948" s="10"/>
      <c r="N948" s="10"/>
      <c r="O948" s="13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3"/>
      <c r="J949" s="10"/>
      <c r="K949" s="10"/>
      <c r="L949" s="10"/>
      <c r="M949" s="10"/>
      <c r="N949" s="10"/>
      <c r="O949" s="13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3"/>
      <c r="J950" s="10"/>
      <c r="K950" s="10"/>
      <c r="L950" s="10"/>
      <c r="M950" s="10"/>
      <c r="N950" s="10"/>
      <c r="O950" s="13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3"/>
      <c r="J951" s="10"/>
      <c r="K951" s="10"/>
      <c r="L951" s="10"/>
      <c r="M951" s="10"/>
      <c r="N951" s="10"/>
      <c r="O951" s="13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3"/>
      <c r="J952" s="10"/>
      <c r="K952" s="10"/>
      <c r="L952" s="10"/>
      <c r="M952" s="10"/>
      <c r="N952" s="10"/>
      <c r="O952" s="13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3"/>
      <c r="J953" s="10"/>
      <c r="K953" s="10"/>
      <c r="L953" s="10"/>
      <c r="M953" s="10"/>
      <c r="N953" s="10"/>
      <c r="O953" s="13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3"/>
      <c r="J954" s="10"/>
      <c r="K954" s="10"/>
      <c r="L954" s="10"/>
      <c r="M954" s="10"/>
      <c r="N954" s="10"/>
      <c r="O954" s="13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3"/>
      <c r="J955" s="10"/>
      <c r="K955" s="10"/>
      <c r="L955" s="10"/>
      <c r="M955" s="10"/>
      <c r="N955" s="10"/>
      <c r="O955" s="13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3"/>
      <c r="J956" s="10"/>
      <c r="K956" s="10"/>
      <c r="L956" s="10"/>
      <c r="M956" s="10"/>
      <c r="N956" s="10"/>
      <c r="O956" s="13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3"/>
      <c r="J957" s="10"/>
      <c r="K957" s="10"/>
      <c r="L957" s="10"/>
      <c r="M957" s="10"/>
      <c r="N957" s="10"/>
      <c r="O957" s="13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3"/>
      <c r="J958" s="10"/>
      <c r="K958" s="10"/>
      <c r="L958" s="10"/>
      <c r="M958" s="10"/>
      <c r="N958" s="10"/>
      <c r="O958" s="13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3"/>
      <c r="J959" s="10"/>
      <c r="K959" s="10"/>
      <c r="L959" s="10"/>
      <c r="M959" s="10"/>
      <c r="N959" s="10"/>
      <c r="O959" s="13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3"/>
      <c r="J960" s="10"/>
      <c r="K960" s="10"/>
      <c r="L960" s="10"/>
      <c r="M960" s="10"/>
      <c r="N960" s="10"/>
      <c r="O960" s="13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3"/>
      <c r="J961" s="10"/>
      <c r="K961" s="10"/>
      <c r="L961" s="10"/>
      <c r="M961" s="10"/>
      <c r="N961" s="10"/>
      <c r="O961" s="13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3"/>
      <c r="J962" s="10"/>
      <c r="K962" s="10"/>
      <c r="L962" s="10"/>
      <c r="M962" s="10"/>
      <c r="N962" s="10"/>
      <c r="O962" s="13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3"/>
      <c r="J963" s="10"/>
      <c r="K963" s="10"/>
      <c r="L963" s="10"/>
      <c r="M963" s="10"/>
      <c r="N963" s="10"/>
      <c r="O963" s="13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3"/>
      <c r="J964" s="10"/>
      <c r="K964" s="10"/>
      <c r="L964" s="10"/>
      <c r="M964" s="10"/>
      <c r="N964" s="10"/>
      <c r="O964" s="13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3"/>
      <c r="J965" s="10"/>
      <c r="K965" s="10"/>
      <c r="L965" s="10"/>
      <c r="M965" s="10"/>
      <c r="N965" s="10"/>
      <c r="O965" s="13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3"/>
      <c r="J966" s="10"/>
      <c r="K966" s="10"/>
      <c r="L966" s="10"/>
      <c r="M966" s="10"/>
      <c r="N966" s="10"/>
      <c r="O966" s="13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3"/>
      <c r="J967" s="10"/>
      <c r="K967" s="10"/>
      <c r="L967" s="10"/>
      <c r="M967" s="10"/>
      <c r="N967" s="10"/>
      <c r="O967" s="13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3"/>
      <c r="J968" s="10"/>
      <c r="K968" s="10"/>
      <c r="L968" s="10"/>
      <c r="M968" s="10"/>
      <c r="N968" s="10"/>
      <c r="O968" s="13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3"/>
      <c r="J969" s="10"/>
      <c r="K969" s="10"/>
      <c r="L969" s="10"/>
      <c r="M969" s="10"/>
      <c r="N969" s="10"/>
      <c r="O969" s="13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3"/>
      <c r="J970" s="10"/>
      <c r="K970" s="10"/>
      <c r="L970" s="10"/>
      <c r="M970" s="10"/>
      <c r="N970" s="10"/>
      <c r="O970" s="13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3"/>
      <c r="J971" s="10"/>
      <c r="K971" s="10"/>
      <c r="L971" s="10"/>
      <c r="M971" s="10"/>
      <c r="N971" s="10"/>
      <c r="O971" s="13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3"/>
      <c r="J972" s="10"/>
      <c r="K972" s="10"/>
      <c r="L972" s="10"/>
      <c r="M972" s="10"/>
      <c r="N972" s="10"/>
      <c r="O972" s="13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3"/>
      <c r="J973" s="10"/>
      <c r="K973" s="10"/>
      <c r="L973" s="10"/>
      <c r="M973" s="10"/>
      <c r="N973" s="10"/>
      <c r="O973" s="13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3"/>
      <c r="J974" s="10"/>
      <c r="K974" s="10"/>
      <c r="L974" s="10"/>
      <c r="M974" s="10"/>
      <c r="N974" s="10"/>
      <c r="O974" s="13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3"/>
      <c r="J975" s="10"/>
      <c r="K975" s="10"/>
      <c r="L975" s="10"/>
      <c r="M975" s="10"/>
      <c r="N975" s="10"/>
      <c r="O975" s="13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3"/>
      <c r="J976" s="10"/>
      <c r="K976" s="10"/>
      <c r="L976" s="10"/>
      <c r="M976" s="10"/>
      <c r="N976" s="10"/>
      <c r="O976" s="13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3"/>
      <c r="J977" s="10"/>
      <c r="K977" s="10"/>
      <c r="L977" s="10"/>
      <c r="M977" s="10"/>
      <c r="N977" s="10"/>
      <c r="O977" s="13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3"/>
      <c r="J978" s="10"/>
      <c r="K978" s="10"/>
      <c r="L978" s="10"/>
      <c r="M978" s="10"/>
      <c r="N978" s="10"/>
      <c r="O978" s="13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3"/>
      <c r="J979" s="10"/>
      <c r="K979" s="10"/>
      <c r="L979" s="10"/>
      <c r="M979" s="10"/>
      <c r="N979" s="10"/>
      <c r="O979" s="13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3"/>
      <c r="J980" s="10"/>
      <c r="K980" s="10"/>
      <c r="L980" s="10"/>
      <c r="M980" s="10"/>
      <c r="N980" s="10"/>
      <c r="O980" s="13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3"/>
      <c r="J981" s="10"/>
      <c r="K981" s="10"/>
      <c r="L981" s="10"/>
      <c r="M981" s="10"/>
      <c r="N981" s="10"/>
      <c r="O981" s="13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3"/>
      <c r="J982" s="10"/>
      <c r="K982" s="10"/>
      <c r="L982" s="10"/>
      <c r="M982" s="10"/>
      <c r="N982" s="10"/>
      <c r="O982" s="13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3"/>
      <c r="J983" s="10"/>
      <c r="K983" s="10"/>
      <c r="L983" s="10"/>
      <c r="M983" s="10"/>
      <c r="N983" s="10"/>
      <c r="O983" s="13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3"/>
      <c r="J984" s="10"/>
      <c r="K984" s="10"/>
      <c r="L984" s="10"/>
      <c r="M984" s="10"/>
      <c r="N984" s="10"/>
      <c r="O984" s="13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3"/>
      <c r="J985" s="10"/>
      <c r="K985" s="10"/>
      <c r="L985" s="10"/>
      <c r="M985" s="10"/>
      <c r="N985" s="10"/>
      <c r="O985" s="13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3"/>
      <c r="J986" s="10"/>
      <c r="K986" s="10"/>
      <c r="L986" s="10"/>
      <c r="M986" s="10"/>
      <c r="N986" s="10"/>
      <c r="O986" s="13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3"/>
      <c r="J987" s="10"/>
      <c r="K987" s="10"/>
      <c r="L987" s="10"/>
      <c r="M987" s="10"/>
      <c r="N987" s="10"/>
      <c r="O987" s="13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3"/>
      <c r="J988" s="10"/>
      <c r="K988" s="10"/>
      <c r="L988" s="10"/>
      <c r="M988" s="10"/>
      <c r="N988" s="10"/>
      <c r="O988" s="13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3"/>
      <c r="J989" s="10"/>
      <c r="K989" s="10"/>
      <c r="L989" s="10"/>
      <c r="M989" s="10"/>
      <c r="N989" s="10"/>
      <c r="O989" s="13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3"/>
      <c r="J990" s="10"/>
      <c r="K990" s="10"/>
      <c r="L990" s="10"/>
      <c r="M990" s="10"/>
      <c r="N990" s="10"/>
      <c r="O990" s="13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3"/>
      <c r="J991" s="10"/>
      <c r="K991" s="10"/>
      <c r="L991" s="10"/>
      <c r="M991" s="10"/>
      <c r="N991" s="10"/>
      <c r="O991" s="13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3"/>
      <c r="J992" s="10"/>
      <c r="K992" s="10"/>
      <c r="L992" s="10"/>
      <c r="M992" s="10"/>
      <c r="N992" s="10"/>
      <c r="O992" s="13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3"/>
      <c r="J993" s="10"/>
      <c r="K993" s="10"/>
      <c r="L993" s="10"/>
      <c r="M993" s="10"/>
      <c r="N993" s="10"/>
      <c r="O993" s="13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3"/>
      <c r="J994" s="10"/>
      <c r="K994" s="10"/>
      <c r="L994" s="10"/>
      <c r="M994" s="10"/>
      <c r="N994" s="10"/>
      <c r="O994" s="13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3"/>
      <c r="J995" s="10"/>
      <c r="K995" s="10"/>
      <c r="L995" s="10"/>
      <c r="M995" s="10"/>
      <c r="N995" s="10"/>
      <c r="O995" s="13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3"/>
      <c r="J996" s="10"/>
      <c r="K996" s="10"/>
      <c r="L996" s="10"/>
      <c r="M996" s="10"/>
      <c r="N996" s="10"/>
      <c r="O996" s="13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3"/>
      <c r="J997" s="10"/>
      <c r="K997" s="10"/>
      <c r="L997" s="10"/>
      <c r="M997" s="10"/>
      <c r="N997" s="10"/>
      <c r="O997" s="13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3"/>
      <c r="J998" s="10"/>
      <c r="K998" s="10"/>
      <c r="L998" s="10"/>
      <c r="M998" s="10"/>
      <c r="N998" s="10"/>
      <c r="O998" s="13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</sheetData>
  <mergeCells count="12">
    <mergeCell ref="N50:Q50"/>
    <mergeCell ref="H50:K50"/>
    <mergeCell ref="C50:E50"/>
    <mergeCell ref="C48:Q48"/>
    <mergeCell ref="H4:K4"/>
    <mergeCell ref="C4:E4"/>
    <mergeCell ref="N4:Q4"/>
    <mergeCell ref="H27:K27"/>
    <mergeCell ref="C27:E27"/>
    <mergeCell ref="C25:Q25"/>
    <mergeCell ref="C2:Q2"/>
    <mergeCell ref="N27:Q27"/>
  </mergeCells>
  <drawing r:id="rId2"/>
  <legacyDrawing r:id="rId3"/>
  <tableParts count="22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5.88"/>
    <col customWidth="1" min="4" max="4" width="28.25"/>
    <col customWidth="1" min="5" max="5" width="14.88"/>
  </cols>
  <sheetData>
    <row r="1">
      <c r="B1" s="2"/>
      <c r="C1" s="2"/>
      <c r="D1" s="2"/>
      <c r="E1" s="4" t="s">
        <v>2</v>
      </c>
      <c r="F1" s="5" t="s">
        <v>5</v>
      </c>
    </row>
    <row r="2">
      <c r="A2" s="5">
        <v>1.0</v>
      </c>
      <c r="B2" s="6" t="s">
        <v>8</v>
      </c>
      <c r="C2" s="8" t="s">
        <v>12</v>
      </c>
      <c r="D2" s="6" t="s">
        <v>16</v>
      </c>
      <c r="E2" s="11" t="s">
        <v>18</v>
      </c>
      <c r="F2" s="12">
        <v>0.7</v>
      </c>
    </row>
    <row r="3">
      <c r="B3" s="2"/>
      <c r="C3" s="2"/>
      <c r="D3" s="2"/>
      <c r="E3" s="16"/>
      <c r="F3" s="10"/>
    </row>
    <row r="4">
      <c r="A4" s="5">
        <v>2.0</v>
      </c>
      <c r="B4" s="6" t="s">
        <v>27</v>
      </c>
      <c r="C4" s="8" t="s">
        <v>29</v>
      </c>
      <c r="D4" s="6" t="s">
        <v>30</v>
      </c>
      <c r="E4" s="11" t="s">
        <v>31</v>
      </c>
      <c r="F4" s="5">
        <v>23.0</v>
      </c>
    </row>
    <row r="5">
      <c r="B5" s="2"/>
      <c r="C5" s="2"/>
      <c r="D5" s="2"/>
      <c r="E5" s="16"/>
      <c r="F5" s="10"/>
    </row>
    <row r="6">
      <c r="A6" s="5">
        <v>3.0</v>
      </c>
      <c r="B6" s="6" t="s">
        <v>39</v>
      </c>
      <c r="C6" s="8" t="s">
        <v>40</v>
      </c>
      <c r="D6" s="6" t="s">
        <v>43</v>
      </c>
      <c r="E6" s="11" t="s">
        <v>45</v>
      </c>
      <c r="F6" s="12">
        <v>0.88</v>
      </c>
    </row>
    <row r="7">
      <c r="B7" s="2"/>
      <c r="C7" s="2"/>
      <c r="D7" s="2"/>
      <c r="E7" s="16"/>
      <c r="F7" s="10"/>
    </row>
    <row r="8">
      <c r="A8" s="5">
        <v>4.0</v>
      </c>
      <c r="B8" s="6" t="s">
        <v>47</v>
      </c>
      <c r="C8" s="8" t="s">
        <v>49</v>
      </c>
      <c r="D8" s="6" t="s">
        <v>50</v>
      </c>
      <c r="E8" s="11" t="s">
        <v>51</v>
      </c>
      <c r="F8" s="12">
        <v>0.78</v>
      </c>
    </row>
    <row r="9">
      <c r="B9" s="2"/>
      <c r="C9" s="2"/>
      <c r="D9" s="2"/>
      <c r="E9" s="16"/>
      <c r="F9" s="10"/>
    </row>
    <row r="10">
      <c r="A10" s="5">
        <v>5.0</v>
      </c>
      <c r="B10" s="6" t="s">
        <v>54</v>
      </c>
      <c r="C10" s="8" t="s">
        <v>56</v>
      </c>
      <c r="D10" s="6" t="s">
        <v>57</v>
      </c>
      <c r="E10" s="11" t="s">
        <v>59</v>
      </c>
      <c r="F10" s="5" t="s">
        <v>60</v>
      </c>
    </row>
    <row r="11">
      <c r="B11" s="2"/>
      <c r="C11" s="2"/>
      <c r="D11" s="2"/>
      <c r="E11" s="16"/>
      <c r="F11" s="10"/>
    </row>
    <row r="12">
      <c r="A12" s="5">
        <v>6.0</v>
      </c>
      <c r="B12" s="6" t="s">
        <v>63</v>
      </c>
      <c r="C12" s="8" t="s">
        <v>66</v>
      </c>
      <c r="D12" s="6" t="s">
        <v>67</v>
      </c>
      <c r="E12" s="11" t="s">
        <v>70</v>
      </c>
      <c r="F12" s="25" t="s">
        <v>71</v>
      </c>
    </row>
    <row r="13">
      <c r="B13" s="2"/>
      <c r="C13" s="2"/>
      <c r="D13" s="2"/>
      <c r="E13" s="16"/>
      <c r="F13" s="10"/>
    </row>
    <row r="14">
      <c r="A14" s="5">
        <v>7.0</v>
      </c>
      <c r="B14" s="6" t="s">
        <v>73</v>
      </c>
      <c r="C14" s="8" t="s">
        <v>76</v>
      </c>
      <c r="D14" s="6" t="s">
        <v>77</v>
      </c>
      <c r="E14" s="11" t="s">
        <v>78</v>
      </c>
      <c r="F14" s="25" t="s">
        <v>80</v>
      </c>
    </row>
    <row r="15">
      <c r="B15" s="2"/>
      <c r="C15" s="2"/>
      <c r="D15" s="2"/>
      <c r="E15" s="16"/>
      <c r="F15" s="10"/>
    </row>
    <row r="16">
      <c r="A16" s="5">
        <v>8.0</v>
      </c>
      <c r="B16" s="6" t="s">
        <v>85</v>
      </c>
      <c r="C16" s="8" t="s">
        <v>87</v>
      </c>
      <c r="D16" s="6" t="s">
        <v>90</v>
      </c>
      <c r="E16" s="11" t="s">
        <v>92</v>
      </c>
      <c r="F16" s="25" t="s">
        <v>94</v>
      </c>
    </row>
    <row r="17">
      <c r="B17" s="2"/>
      <c r="C17" s="2"/>
      <c r="D17" s="2"/>
      <c r="E17" s="16"/>
      <c r="F17" s="10"/>
    </row>
    <row r="18">
      <c r="A18" s="5">
        <v>9.0</v>
      </c>
      <c r="B18" s="6" t="s">
        <v>75</v>
      </c>
      <c r="C18" s="6" t="s">
        <v>97</v>
      </c>
      <c r="D18" s="6" t="s">
        <v>82</v>
      </c>
      <c r="E18" s="11" t="s">
        <v>83</v>
      </c>
      <c r="F18" s="5" t="s">
        <v>99</v>
      </c>
    </row>
    <row r="19">
      <c r="B19" s="2"/>
      <c r="C19" s="2"/>
      <c r="D19" s="2"/>
      <c r="E19" s="16"/>
      <c r="F19" s="10"/>
    </row>
    <row r="20">
      <c r="A20" s="5">
        <v>10.0</v>
      </c>
      <c r="B20" s="6" t="s">
        <v>98</v>
      </c>
      <c r="C20" s="8" t="s">
        <v>106</v>
      </c>
      <c r="D20" s="6" t="s">
        <v>102</v>
      </c>
      <c r="E20" s="11" t="s">
        <v>104</v>
      </c>
      <c r="F20" s="5" t="s">
        <v>99</v>
      </c>
    </row>
    <row r="21">
      <c r="B21" s="2"/>
      <c r="C21" s="2"/>
      <c r="D21" s="2"/>
      <c r="E21" s="16"/>
      <c r="F21" s="10"/>
    </row>
    <row r="22">
      <c r="A22" s="5">
        <v>11.0</v>
      </c>
      <c r="B22" s="6" t="s">
        <v>107</v>
      </c>
      <c r="C22" s="49" t="s">
        <v>113</v>
      </c>
      <c r="D22" s="51" t="s">
        <v>112</v>
      </c>
      <c r="E22" s="53" t="s">
        <v>117</v>
      </c>
      <c r="F22" s="5">
        <v>18.0</v>
      </c>
    </row>
    <row r="23">
      <c r="B23" s="2"/>
      <c r="C23" s="2"/>
      <c r="D23" s="2"/>
      <c r="E23" s="16"/>
      <c r="F23" s="10"/>
    </row>
    <row r="24">
      <c r="A24" s="5">
        <v>12.0</v>
      </c>
      <c r="B24" s="6" t="s">
        <v>121</v>
      </c>
      <c r="C24" s="49" t="s">
        <v>123</v>
      </c>
      <c r="D24" s="51" t="s">
        <v>125</v>
      </c>
      <c r="E24" s="53" t="s">
        <v>127</v>
      </c>
      <c r="F24" s="12">
        <v>0.86</v>
      </c>
    </row>
    <row r="25">
      <c r="B25" s="2"/>
      <c r="C25" s="2"/>
      <c r="D25" s="2"/>
      <c r="E25" s="16"/>
      <c r="F25" s="10"/>
    </row>
    <row r="26">
      <c r="A26" s="5">
        <v>13.0</v>
      </c>
      <c r="B26" s="6" t="s">
        <v>132</v>
      </c>
      <c r="C26" s="8" t="s">
        <v>133</v>
      </c>
      <c r="D26" s="51" t="s">
        <v>134</v>
      </c>
      <c r="E26" s="11" t="s">
        <v>51</v>
      </c>
      <c r="F26" s="12">
        <v>0.85</v>
      </c>
    </row>
    <row r="27">
      <c r="B27" s="2"/>
      <c r="C27" s="2"/>
      <c r="D27" s="2"/>
      <c r="E27" s="16"/>
      <c r="F27" s="10"/>
    </row>
    <row r="28">
      <c r="A28" s="5">
        <v>14.0</v>
      </c>
      <c r="B28" s="6" t="s">
        <v>139</v>
      </c>
      <c r="C28" s="8" t="s">
        <v>140</v>
      </c>
      <c r="D28" s="6" t="s">
        <v>142</v>
      </c>
      <c r="E28" s="11" t="s">
        <v>122</v>
      </c>
      <c r="F28" s="66">
        <v>46057.0</v>
      </c>
    </row>
    <row r="29">
      <c r="B29" s="2"/>
      <c r="C29" s="2"/>
      <c r="D29" s="2"/>
      <c r="E29" s="16"/>
      <c r="F29" s="10"/>
    </row>
    <row r="30">
      <c r="A30" s="5">
        <v>15.0</v>
      </c>
      <c r="B30" s="6" t="s">
        <v>147</v>
      </c>
      <c r="C30" s="8" t="s">
        <v>148</v>
      </c>
      <c r="D30" s="6" t="s">
        <v>149</v>
      </c>
      <c r="E30" s="11" t="s">
        <v>45</v>
      </c>
      <c r="F30" s="12">
        <v>0.75</v>
      </c>
    </row>
    <row r="31">
      <c r="B31" s="2"/>
      <c r="C31" s="2"/>
      <c r="D31" s="2"/>
      <c r="E31" s="16"/>
      <c r="F31" s="10"/>
    </row>
    <row r="32">
      <c r="A32" s="5">
        <v>16.0</v>
      </c>
      <c r="B32" s="6" t="s">
        <v>150</v>
      </c>
      <c r="C32" s="8" t="s">
        <v>152</v>
      </c>
      <c r="D32" s="51" t="s">
        <v>154</v>
      </c>
      <c r="E32" s="11" t="s">
        <v>45</v>
      </c>
      <c r="F32" s="12">
        <v>0.86</v>
      </c>
    </row>
    <row r="33">
      <c r="B33" s="2"/>
      <c r="C33" s="2"/>
      <c r="D33" s="2"/>
      <c r="E33" s="16"/>
      <c r="F33" s="10"/>
    </row>
    <row r="34">
      <c r="A34" s="5">
        <v>17.0</v>
      </c>
      <c r="B34" s="6" t="s">
        <v>156</v>
      </c>
      <c r="C34" s="8" t="s">
        <v>157</v>
      </c>
      <c r="D34" s="6" t="s">
        <v>158</v>
      </c>
      <c r="E34" s="11" t="s">
        <v>160</v>
      </c>
      <c r="F34" s="12">
        <v>0.9</v>
      </c>
    </row>
    <row r="35">
      <c r="B35" s="2"/>
      <c r="C35" s="2"/>
      <c r="D35" s="2"/>
      <c r="E35" s="16"/>
      <c r="F35" s="10"/>
    </row>
    <row r="36">
      <c r="A36" s="5">
        <v>18.0</v>
      </c>
      <c r="B36" s="6" t="s">
        <v>165</v>
      </c>
      <c r="C36" s="72" t="s">
        <v>167</v>
      </c>
      <c r="D36" s="74"/>
      <c r="E36" s="76">
        <v>0.95</v>
      </c>
      <c r="F36" s="77">
        <v>0.98</v>
      </c>
    </row>
    <row r="37">
      <c r="B37" s="2"/>
      <c r="C37" s="2"/>
      <c r="D37" s="2"/>
      <c r="E37" s="16"/>
      <c r="F37" s="10"/>
    </row>
    <row r="38">
      <c r="A38" s="5">
        <v>19.0</v>
      </c>
      <c r="B38" s="6" t="s">
        <v>115</v>
      </c>
      <c r="C38" s="8" t="s">
        <v>175</v>
      </c>
      <c r="D38" s="6" t="s">
        <v>120</v>
      </c>
      <c r="E38" s="11" t="s">
        <v>122</v>
      </c>
      <c r="F38" s="66">
        <v>46057.0</v>
      </c>
    </row>
    <row r="39">
      <c r="B39" s="2"/>
      <c r="C39" s="2"/>
      <c r="D39" s="2"/>
      <c r="E39" s="16"/>
      <c r="F39" s="10"/>
    </row>
    <row r="40">
      <c r="A40" s="5">
        <v>20.0</v>
      </c>
      <c r="B40" s="6" t="s">
        <v>131</v>
      </c>
      <c r="C40" s="8" t="s">
        <v>178</v>
      </c>
      <c r="D40" s="6" t="s">
        <v>177</v>
      </c>
      <c r="E40" s="11" t="s">
        <v>122</v>
      </c>
      <c r="F40" s="66">
        <v>46085.0</v>
      </c>
    </row>
    <row r="41">
      <c r="B41" s="2"/>
      <c r="C41" s="2"/>
      <c r="D41" s="2"/>
      <c r="E41" s="16"/>
      <c r="F41" s="10"/>
    </row>
    <row r="42">
      <c r="A42" s="5">
        <v>21.0</v>
      </c>
      <c r="B42" s="6" t="s">
        <v>186</v>
      </c>
      <c r="C42" s="72" t="s">
        <v>188</v>
      </c>
      <c r="D42" s="74"/>
      <c r="E42" s="87">
        <v>0.0</v>
      </c>
      <c r="F42" s="89">
        <v>0.0</v>
      </c>
    </row>
    <row r="43">
      <c r="B43" s="2"/>
      <c r="C43" s="13"/>
      <c r="E43" s="16"/>
      <c r="F43" s="10"/>
    </row>
    <row r="44">
      <c r="A44" s="5">
        <v>22.0</v>
      </c>
      <c r="B44" s="6" t="s">
        <v>190</v>
      </c>
      <c r="C44" s="72" t="s">
        <v>192</v>
      </c>
      <c r="D44" s="74"/>
      <c r="E44" s="87" t="s">
        <v>116</v>
      </c>
      <c r="F44" s="92">
        <v>46057.0</v>
      </c>
    </row>
    <row r="45">
      <c r="B45" s="93"/>
      <c r="C45" s="94"/>
      <c r="E45" s="95"/>
      <c r="F45" s="10"/>
    </row>
    <row r="46">
      <c r="A46" s="5">
        <v>23.0</v>
      </c>
      <c r="B46" s="6" t="s">
        <v>202</v>
      </c>
      <c r="C46" s="72" t="s">
        <v>204</v>
      </c>
      <c r="D46" s="74"/>
      <c r="E46" s="76">
        <v>0.1</v>
      </c>
      <c r="F46" s="77">
        <v>0.15</v>
      </c>
    </row>
    <row r="47">
      <c r="B47" s="93"/>
      <c r="C47" s="94"/>
      <c r="E47" s="95"/>
      <c r="F47" s="10"/>
    </row>
    <row r="48">
      <c r="A48" s="5">
        <v>24.0</v>
      </c>
      <c r="B48" s="6" t="s">
        <v>207</v>
      </c>
      <c r="C48" s="72" t="s">
        <v>209</v>
      </c>
      <c r="D48" s="74"/>
      <c r="E48" s="76">
        <v>0.85</v>
      </c>
      <c r="F48" s="105">
        <v>0.95</v>
      </c>
    </row>
    <row r="49">
      <c r="B49" s="93"/>
      <c r="C49" s="94"/>
      <c r="E49" s="95"/>
      <c r="F49" s="108"/>
    </row>
    <row r="50">
      <c r="A50" s="5">
        <v>25.0</v>
      </c>
      <c r="B50" s="6" t="s">
        <v>216</v>
      </c>
      <c r="C50" s="72" t="s">
        <v>219</v>
      </c>
      <c r="D50" s="74"/>
      <c r="E50" s="111">
        <v>0.2</v>
      </c>
      <c r="F50" s="105">
        <v>0.3</v>
      </c>
    </row>
    <row r="51">
      <c r="B51" s="93"/>
      <c r="C51" s="94"/>
      <c r="E51" s="113"/>
      <c r="F51" s="115"/>
    </row>
    <row r="52">
      <c r="A52" s="5">
        <v>26.0</v>
      </c>
      <c r="B52" s="6" t="s">
        <v>227</v>
      </c>
      <c r="C52" s="72" t="s">
        <v>229</v>
      </c>
      <c r="D52" s="74"/>
      <c r="E52" s="111">
        <v>0.85</v>
      </c>
      <c r="F52" s="105">
        <v>0.9</v>
      </c>
    </row>
    <row r="53">
      <c r="B53" s="93"/>
      <c r="C53" s="94"/>
      <c r="E53" s="95"/>
      <c r="F53" s="10"/>
    </row>
    <row r="54">
      <c r="A54" s="5">
        <v>27.0</v>
      </c>
      <c r="B54" s="6" t="s">
        <v>238</v>
      </c>
      <c r="C54" s="72" t="s">
        <v>241</v>
      </c>
      <c r="D54" s="74"/>
      <c r="E54" s="76">
        <v>0.4</v>
      </c>
      <c r="F54" s="77">
        <v>0.42</v>
      </c>
    </row>
    <row r="55">
      <c r="B55" s="93"/>
      <c r="C55" s="94"/>
      <c r="E55" s="95"/>
      <c r="F55" s="10"/>
    </row>
    <row r="56">
      <c r="A56" s="5">
        <v>28.0</v>
      </c>
      <c r="B56" s="6" t="s">
        <v>246</v>
      </c>
      <c r="C56" s="122" t="s">
        <v>247</v>
      </c>
      <c r="D56" s="74"/>
      <c r="E56" s="124">
        <v>0.55</v>
      </c>
      <c r="F56" s="12">
        <v>0.7</v>
      </c>
    </row>
    <row r="57">
      <c r="B57" s="93"/>
      <c r="C57" s="94"/>
      <c r="E57" s="95"/>
      <c r="F57" s="10"/>
    </row>
    <row r="58">
      <c r="A58" s="5">
        <v>29.0</v>
      </c>
      <c r="B58" s="6" t="s">
        <v>257</v>
      </c>
      <c r="C58" s="72" t="s">
        <v>259</v>
      </c>
      <c r="D58" s="74"/>
      <c r="E58" s="11">
        <v>12.0</v>
      </c>
      <c r="F58" s="5">
        <v>18.0</v>
      </c>
    </row>
    <row r="59">
      <c r="B59" s="93"/>
      <c r="C59" s="93"/>
      <c r="D59" s="93"/>
      <c r="E59" s="16"/>
      <c r="F59" s="10"/>
    </row>
    <row r="60">
      <c r="A60" s="5">
        <v>30.0</v>
      </c>
      <c r="B60" s="6" t="s">
        <v>226</v>
      </c>
      <c r="C60" s="8" t="s">
        <v>267</v>
      </c>
      <c r="D60" s="6" t="s">
        <v>232</v>
      </c>
      <c r="E60" s="11" t="s">
        <v>234</v>
      </c>
      <c r="F60" s="132"/>
    </row>
    <row r="61">
      <c r="B61" s="93"/>
      <c r="C61" s="93"/>
      <c r="D61" s="93"/>
      <c r="E61" s="95"/>
      <c r="F61" s="10"/>
    </row>
    <row r="62">
      <c r="A62" s="5">
        <v>31.0</v>
      </c>
      <c r="B62" s="6" t="s">
        <v>248</v>
      </c>
      <c r="C62" s="8" t="s">
        <v>279</v>
      </c>
      <c r="D62" s="6" t="s">
        <v>281</v>
      </c>
      <c r="E62" s="11" t="s">
        <v>254</v>
      </c>
      <c r="F62" s="132"/>
    </row>
    <row r="63">
      <c r="B63" s="93"/>
      <c r="C63" s="93"/>
      <c r="D63" s="93"/>
      <c r="E63" s="95"/>
      <c r="F63" s="10"/>
    </row>
    <row r="64">
      <c r="A64" s="5">
        <v>32.0</v>
      </c>
      <c r="B64" s="6" t="s">
        <v>269</v>
      </c>
      <c r="C64" s="8" t="s">
        <v>287</v>
      </c>
      <c r="D64" s="6" t="s">
        <v>271</v>
      </c>
      <c r="E64" s="11" t="s">
        <v>160</v>
      </c>
      <c r="F64" s="132"/>
    </row>
    <row r="65">
      <c r="B65" s="93"/>
      <c r="C65" s="93"/>
      <c r="D65" s="93"/>
      <c r="E65" s="95"/>
      <c r="F65" s="10"/>
    </row>
    <row r="66">
      <c r="A66" s="5">
        <v>33.0</v>
      </c>
      <c r="B66" s="6" t="s">
        <v>285</v>
      </c>
      <c r="C66" s="8" t="s">
        <v>294</v>
      </c>
      <c r="D66" s="6" t="s">
        <v>289</v>
      </c>
      <c r="E66" s="11" t="s">
        <v>290</v>
      </c>
      <c r="F66" s="132"/>
    </row>
    <row r="67">
      <c r="B67" s="93"/>
      <c r="C67" s="93"/>
      <c r="D67" s="93"/>
      <c r="E67" s="95"/>
      <c r="F67" s="10"/>
    </row>
    <row r="68">
      <c r="A68" s="5">
        <v>34.0</v>
      </c>
      <c r="B68" s="6" t="s">
        <v>299</v>
      </c>
      <c r="C68" s="8" t="s">
        <v>301</v>
      </c>
      <c r="D68" s="6" t="s">
        <v>302</v>
      </c>
      <c r="E68" s="11" t="s">
        <v>83</v>
      </c>
      <c r="F68" s="132"/>
    </row>
    <row r="69">
      <c r="B69" s="93"/>
      <c r="C69" s="93"/>
      <c r="D69" s="93"/>
      <c r="E69" s="95"/>
      <c r="F69" s="10"/>
    </row>
    <row r="70">
      <c r="A70" s="5">
        <v>35.0</v>
      </c>
      <c r="B70" s="6" t="s">
        <v>296</v>
      </c>
      <c r="C70" s="8" t="s">
        <v>307</v>
      </c>
      <c r="D70" s="6" t="s">
        <v>289</v>
      </c>
      <c r="E70" s="11" t="s">
        <v>311</v>
      </c>
      <c r="F70" s="132"/>
    </row>
    <row r="71">
      <c r="B71" s="93"/>
      <c r="C71" s="93"/>
      <c r="D71" s="93"/>
      <c r="E71" s="95"/>
      <c r="F71" s="10"/>
    </row>
    <row r="72">
      <c r="A72" s="5">
        <v>36.0</v>
      </c>
      <c r="B72" s="6" t="s">
        <v>313</v>
      </c>
      <c r="C72" s="8" t="s">
        <v>314</v>
      </c>
      <c r="D72" s="6" t="s">
        <v>315</v>
      </c>
      <c r="E72" s="11" t="s">
        <v>311</v>
      </c>
      <c r="F72" s="132"/>
    </row>
    <row r="73">
      <c r="B73" s="93"/>
      <c r="C73" s="93"/>
      <c r="D73" s="93"/>
      <c r="E73" s="95"/>
      <c r="F73" s="10"/>
    </row>
    <row r="74">
      <c r="A74" s="5">
        <v>37.0</v>
      </c>
      <c r="B74" s="6" t="s">
        <v>320</v>
      </c>
      <c r="C74" s="8" t="s">
        <v>321</v>
      </c>
      <c r="D74" s="6" t="s">
        <v>125</v>
      </c>
      <c r="E74" s="11" t="s">
        <v>322</v>
      </c>
      <c r="F74" s="132"/>
    </row>
    <row r="75">
      <c r="B75" s="93"/>
      <c r="C75" s="93"/>
      <c r="D75" s="93"/>
      <c r="E75" s="95"/>
      <c r="F75" s="10"/>
    </row>
    <row r="76">
      <c r="A76" s="5">
        <v>38.0</v>
      </c>
      <c r="B76" s="6" t="s">
        <v>324</v>
      </c>
      <c r="C76" s="8" t="s">
        <v>326</v>
      </c>
      <c r="D76" s="6" t="s">
        <v>327</v>
      </c>
      <c r="E76" s="11" t="s">
        <v>328</v>
      </c>
      <c r="F76" s="132"/>
    </row>
    <row r="77">
      <c r="B77" s="93"/>
      <c r="C77" s="93"/>
      <c r="D77" s="93"/>
      <c r="E77" s="95"/>
      <c r="F77" s="10"/>
    </row>
    <row r="78">
      <c r="A78" s="5">
        <v>39.0</v>
      </c>
      <c r="B78" s="6" t="s">
        <v>332</v>
      </c>
      <c r="C78" s="8" t="s">
        <v>333</v>
      </c>
      <c r="D78" s="6" t="s">
        <v>335</v>
      </c>
      <c r="E78" s="11" t="s">
        <v>45</v>
      </c>
      <c r="F78" s="132"/>
    </row>
    <row r="79">
      <c r="B79" s="93"/>
      <c r="C79" s="93"/>
      <c r="D79" s="93"/>
      <c r="E79" s="95"/>
      <c r="F79" s="10"/>
    </row>
    <row r="80">
      <c r="A80" s="5">
        <v>40.0</v>
      </c>
      <c r="B80" s="6" t="s">
        <v>338</v>
      </c>
      <c r="C80" s="8" t="s">
        <v>339</v>
      </c>
      <c r="D80" s="6" t="s">
        <v>340</v>
      </c>
      <c r="E80" s="11" t="s">
        <v>342</v>
      </c>
      <c r="F80" s="132"/>
    </row>
    <row r="81">
      <c r="B81" s="93"/>
      <c r="C81" s="93"/>
      <c r="D81" s="93"/>
      <c r="E81" s="95"/>
      <c r="F81" s="10"/>
    </row>
    <row r="82">
      <c r="A82" s="5">
        <v>41.0</v>
      </c>
      <c r="B82" s="6" t="s">
        <v>348</v>
      </c>
      <c r="C82" s="8" t="s">
        <v>349</v>
      </c>
      <c r="D82" s="6" t="s">
        <v>350</v>
      </c>
      <c r="E82" s="11" t="s">
        <v>45</v>
      </c>
      <c r="F82" s="132"/>
    </row>
    <row r="83">
      <c r="B83" s="93"/>
      <c r="C83" s="93"/>
      <c r="D83" s="93"/>
      <c r="E83" s="95"/>
      <c r="F83" s="10"/>
    </row>
    <row r="84">
      <c r="A84" s="5">
        <v>42.0</v>
      </c>
      <c r="B84" s="6" t="s">
        <v>354</v>
      </c>
      <c r="C84" s="8" t="s">
        <v>355</v>
      </c>
      <c r="D84" s="51" t="s">
        <v>358</v>
      </c>
      <c r="E84" s="53" t="s">
        <v>359</v>
      </c>
      <c r="F84" s="132"/>
    </row>
    <row r="85">
      <c r="B85" s="93"/>
      <c r="C85" s="93"/>
      <c r="D85" s="93"/>
      <c r="E85" s="95"/>
      <c r="F85" s="10"/>
    </row>
    <row r="86">
      <c r="A86" s="5">
        <v>43.0</v>
      </c>
      <c r="B86" s="6" t="s">
        <v>347</v>
      </c>
      <c r="C86" s="8" t="s">
        <v>363</v>
      </c>
      <c r="D86" s="51" t="s">
        <v>364</v>
      </c>
      <c r="E86" s="53" t="s">
        <v>366</v>
      </c>
      <c r="F86" s="132"/>
    </row>
    <row r="87">
      <c r="B87" s="2"/>
      <c r="C87" s="2"/>
      <c r="D87" s="2"/>
      <c r="E87" s="16"/>
      <c r="F87" s="10"/>
    </row>
    <row r="88">
      <c r="A88" s="5">
        <v>44.0</v>
      </c>
      <c r="B88" s="30" t="s">
        <v>55</v>
      </c>
      <c r="C88" s="168" t="s">
        <v>58</v>
      </c>
      <c r="D88" s="33" t="s">
        <v>61</v>
      </c>
      <c r="E88" s="169" t="s">
        <v>62</v>
      </c>
      <c r="F88" s="132"/>
    </row>
    <row r="89">
      <c r="B89" s="93"/>
      <c r="C89" s="93"/>
      <c r="D89" s="93"/>
      <c r="E89" s="95"/>
      <c r="F89" s="10"/>
    </row>
    <row r="90">
      <c r="A90" s="5">
        <v>45.0</v>
      </c>
      <c r="B90" s="30" t="s">
        <v>84</v>
      </c>
      <c r="C90" s="168" t="s">
        <v>86</v>
      </c>
      <c r="D90" s="33" t="s">
        <v>61</v>
      </c>
      <c r="E90" s="169" t="s">
        <v>89</v>
      </c>
      <c r="F90" s="132"/>
    </row>
    <row r="91">
      <c r="B91" s="93"/>
      <c r="C91" s="93"/>
      <c r="D91" s="93"/>
      <c r="E91" s="95"/>
      <c r="F91" s="10"/>
    </row>
    <row r="92">
      <c r="A92" s="5">
        <v>46.0</v>
      </c>
      <c r="B92" s="30" t="s">
        <v>105</v>
      </c>
      <c r="C92" s="168" t="s">
        <v>108</v>
      </c>
      <c r="D92" s="33" t="s">
        <v>61</v>
      </c>
      <c r="E92" s="169" t="s">
        <v>110</v>
      </c>
      <c r="F92" s="132"/>
    </row>
    <row r="93">
      <c r="B93" s="93"/>
      <c r="C93" s="93"/>
      <c r="D93" s="93"/>
      <c r="E93" s="95"/>
      <c r="F93" s="10"/>
    </row>
    <row r="94">
      <c r="A94" s="5">
        <v>47.0</v>
      </c>
      <c r="B94" s="30" t="s">
        <v>124</v>
      </c>
      <c r="C94" s="168" t="s">
        <v>126</v>
      </c>
      <c r="D94" s="33" t="s">
        <v>61</v>
      </c>
      <c r="E94" s="169" t="s">
        <v>128</v>
      </c>
      <c r="F94" s="132"/>
    </row>
    <row r="95">
      <c r="B95" s="93"/>
      <c r="C95" s="93"/>
      <c r="D95" s="93"/>
      <c r="E95" s="95"/>
      <c r="F95" s="10"/>
    </row>
    <row r="96">
      <c r="A96" s="5">
        <v>48.0</v>
      </c>
      <c r="B96" s="30" t="s">
        <v>164</v>
      </c>
      <c r="C96" s="168" t="s">
        <v>166</v>
      </c>
      <c r="D96" s="33" t="s">
        <v>61</v>
      </c>
      <c r="E96" s="169" t="s">
        <v>169</v>
      </c>
      <c r="F96" s="132"/>
    </row>
    <row r="97">
      <c r="B97" s="93"/>
      <c r="C97" s="93"/>
      <c r="D97" s="93"/>
      <c r="E97" s="95"/>
      <c r="F97" s="10"/>
    </row>
    <row r="98">
      <c r="A98" s="5">
        <v>49.0</v>
      </c>
      <c r="B98" s="30" t="s">
        <v>180</v>
      </c>
      <c r="C98" s="168" t="s">
        <v>182</v>
      </c>
      <c r="D98" s="33" t="s">
        <v>61</v>
      </c>
      <c r="E98" s="169" t="s">
        <v>184</v>
      </c>
      <c r="F98" s="132"/>
    </row>
    <row r="99">
      <c r="B99" s="93"/>
      <c r="C99" s="93"/>
      <c r="D99" s="93"/>
      <c r="E99" s="95"/>
      <c r="F99" s="10"/>
    </row>
    <row r="100">
      <c r="A100" s="5">
        <v>50.0</v>
      </c>
      <c r="B100" s="30" t="s">
        <v>235</v>
      </c>
      <c r="C100" s="168" t="s">
        <v>236</v>
      </c>
      <c r="D100" s="30" t="s">
        <v>239</v>
      </c>
      <c r="E100" s="169" t="s">
        <v>240</v>
      </c>
      <c r="F100" s="132"/>
    </row>
    <row r="101">
      <c r="B101" s="93"/>
      <c r="C101" s="93"/>
      <c r="D101" s="93"/>
      <c r="E101" s="95"/>
      <c r="F101" s="10"/>
    </row>
    <row r="102">
      <c r="A102" s="5">
        <v>51.0</v>
      </c>
      <c r="B102" s="30" t="s">
        <v>255</v>
      </c>
      <c r="C102" s="168" t="s">
        <v>256</v>
      </c>
      <c r="D102" s="30" t="s">
        <v>239</v>
      </c>
      <c r="E102" s="169" t="s">
        <v>258</v>
      </c>
      <c r="F102" s="132"/>
    </row>
    <row r="103">
      <c r="B103" s="93"/>
      <c r="C103" s="93"/>
      <c r="D103" s="93"/>
      <c r="E103" s="95"/>
      <c r="F103" s="10"/>
    </row>
    <row r="104">
      <c r="A104" s="5">
        <v>52.0</v>
      </c>
      <c r="B104" s="30" t="s">
        <v>273</v>
      </c>
      <c r="C104" s="168" t="s">
        <v>275</v>
      </c>
      <c r="D104" s="30" t="s">
        <v>239</v>
      </c>
      <c r="E104" s="169" t="s">
        <v>278</v>
      </c>
      <c r="F104" s="132"/>
    </row>
    <row r="105">
      <c r="B105" s="93"/>
      <c r="C105" s="93"/>
      <c r="D105" s="93"/>
      <c r="E105" s="95"/>
      <c r="F105" s="10"/>
    </row>
    <row r="106">
      <c r="A106" s="5">
        <v>53.0</v>
      </c>
      <c r="B106" s="30" t="s">
        <v>291</v>
      </c>
      <c r="C106" s="168" t="s">
        <v>292</v>
      </c>
      <c r="D106" s="30" t="s">
        <v>239</v>
      </c>
      <c r="E106" s="169" t="s">
        <v>293</v>
      </c>
      <c r="F106" s="132"/>
    </row>
    <row r="107">
      <c r="B107" s="93"/>
      <c r="C107" s="93"/>
      <c r="D107" s="93"/>
      <c r="E107" s="95"/>
      <c r="F107" s="10"/>
    </row>
    <row r="108">
      <c r="A108" s="5">
        <v>54.0</v>
      </c>
      <c r="B108" s="30" t="s">
        <v>304</v>
      </c>
      <c r="C108" s="168" t="s">
        <v>306</v>
      </c>
      <c r="D108" s="30" t="s">
        <v>239</v>
      </c>
      <c r="E108" s="169" t="s">
        <v>278</v>
      </c>
      <c r="F108" s="132"/>
    </row>
    <row r="109">
      <c r="B109" s="93"/>
      <c r="C109" s="93"/>
      <c r="D109" s="93"/>
      <c r="E109" s="95"/>
      <c r="F109" s="10"/>
    </row>
    <row r="110">
      <c r="A110" s="5">
        <v>55.0</v>
      </c>
      <c r="B110" s="30" t="s">
        <v>316</v>
      </c>
      <c r="C110" s="176" t="s">
        <v>317</v>
      </c>
      <c r="D110" s="30" t="s">
        <v>239</v>
      </c>
      <c r="E110" s="169" t="s">
        <v>325</v>
      </c>
      <c r="F110" s="132"/>
    </row>
    <row r="111">
      <c r="B111" s="93"/>
      <c r="C111" s="93"/>
      <c r="D111" s="93"/>
      <c r="E111" s="95"/>
      <c r="F111" s="10"/>
    </row>
    <row r="112">
      <c r="A112" s="5">
        <v>56.0</v>
      </c>
      <c r="B112" s="30" t="s">
        <v>372</v>
      </c>
      <c r="C112" s="168" t="s">
        <v>373</v>
      </c>
      <c r="D112" s="30" t="s">
        <v>239</v>
      </c>
      <c r="E112" s="169" t="s">
        <v>374</v>
      </c>
      <c r="F112" s="132"/>
    </row>
    <row r="113">
      <c r="B113" s="93"/>
      <c r="C113" s="93"/>
      <c r="D113" s="93"/>
      <c r="E113" s="95"/>
      <c r="F113" s="10"/>
    </row>
    <row r="114">
      <c r="A114" s="5">
        <v>57.0</v>
      </c>
      <c r="B114" s="30" t="s">
        <v>384</v>
      </c>
      <c r="C114" s="168" t="s">
        <v>385</v>
      </c>
      <c r="D114" s="30" t="s">
        <v>239</v>
      </c>
      <c r="E114" s="169" t="s">
        <v>386</v>
      </c>
      <c r="F114" s="132"/>
    </row>
    <row r="115">
      <c r="B115" s="93"/>
      <c r="C115" s="93"/>
      <c r="D115" s="93"/>
      <c r="E115" s="95"/>
      <c r="F115" s="10"/>
    </row>
    <row r="116">
      <c r="A116" s="5">
        <v>58.0</v>
      </c>
      <c r="B116" s="30" t="s">
        <v>212</v>
      </c>
      <c r="C116" s="168" t="s">
        <v>214</v>
      </c>
      <c r="D116" s="33" t="s">
        <v>61</v>
      </c>
      <c r="E116" s="169" t="s">
        <v>217</v>
      </c>
      <c r="F116" s="132"/>
    </row>
    <row r="117">
      <c r="E117" s="180"/>
      <c r="F117" s="10"/>
    </row>
    <row r="118">
      <c r="E118" s="180"/>
      <c r="F118" s="10"/>
    </row>
    <row r="119">
      <c r="E119" s="180"/>
      <c r="F119" s="10"/>
    </row>
    <row r="120">
      <c r="E120" s="180"/>
      <c r="F120" s="10"/>
    </row>
    <row r="121">
      <c r="E121" s="180"/>
      <c r="F121" s="10"/>
    </row>
    <row r="122">
      <c r="E122" s="180"/>
      <c r="F122" s="10"/>
    </row>
    <row r="123">
      <c r="E123" s="180"/>
      <c r="F123" s="10"/>
    </row>
    <row r="124">
      <c r="E124" s="180"/>
      <c r="F124" s="10"/>
    </row>
    <row r="125">
      <c r="E125" s="180"/>
      <c r="F125" s="10"/>
    </row>
    <row r="126">
      <c r="E126" s="180"/>
      <c r="F126" s="10"/>
    </row>
    <row r="127">
      <c r="E127" s="180"/>
      <c r="F127" s="10"/>
    </row>
    <row r="128">
      <c r="E128" s="180"/>
      <c r="F128" s="10"/>
    </row>
    <row r="129">
      <c r="E129" s="180"/>
      <c r="F129" s="10"/>
    </row>
    <row r="130">
      <c r="E130" s="180"/>
      <c r="F130" s="10"/>
    </row>
    <row r="131">
      <c r="E131" s="180"/>
      <c r="F131" s="10"/>
    </row>
    <row r="132">
      <c r="E132" s="180"/>
      <c r="F132" s="10"/>
    </row>
    <row r="133">
      <c r="E133" s="180"/>
      <c r="F133" s="10"/>
    </row>
    <row r="134">
      <c r="E134" s="180"/>
      <c r="F134" s="10"/>
    </row>
    <row r="135">
      <c r="E135" s="180"/>
      <c r="F135" s="10"/>
    </row>
    <row r="136">
      <c r="E136" s="180"/>
      <c r="F136" s="10"/>
    </row>
    <row r="137">
      <c r="E137" s="180"/>
      <c r="F137" s="10"/>
    </row>
    <row r="138">
      <c r="E138" s="180"/>
      <c r="F138" s="10"/>
    </row>
    <row r="139">
      <c r="E139" s="180"/>
      <c r="F139" s="10"/>
    </row>
    <row r="140">
      <c r="E140" s="180"/>
      <c r="F140" s="10"/>
    </row>
    <row r="141">
      <c r="E141" s="180"/>
      <c r="F141" s="10"/>
    </row>
    <row r="142">
      <c r="E142" s="180"/>
      <c r="F142" s="10"/>
    </row>
    <row r="143">
      <c r="E143" s="180"/>
      <c r="F143" s="10"/>
    </row>
    <row r="144">
      <c r="E144" s="180"/>
      <c r="F144" s="10"/>
    </row>
    <row r="145">
      <c r="E145" s="180"/>
      <c r="F145" s="10"/>
    </row>
    <row r="146">
      <c r="E146" s="180"/>
      <c r="F146" s="10"/>
    </row>
    <row r="147">
      <c r="E147" s="180"/>
      <c r="F147" s="10"/>
    </row>
    <row r="148">
      <c r="E148" s="180"/>
      <c r="F148" s="10"/>
    </row>
    <row r="149">
      <c r="E149" s="180"/>
      <c r="F149" s="10"/>
    </row>
    <row r="150">
      <c r="E150" s="180"/>
      <c r="F150" s="10"/>
    </row>
    <row r="151">
      <c r="E151" s="180"/>
      <c r="F151" s="10"/>
    </row>
    <row r="152">
      <c r="E152" s="180"/>
      <c r="F152" s="10"/>
    </row>
    <row r="153">
      <c r="E153" s="180"/>
      <c r="F153" s="10"/>
    </row>
    <row r="154">
      <c r="E154" s="180"/>
      <c r="F154" s="10"/>
    </row>
    <row r="155">
      <c r="E155" s="180"/>
      <c r="F155" s="10"/>
    </row>
    <row r="156">
      <c r="E156" s="180"/>
      <c r="F156" s="10"/>
    </row>
    <row r="157">
      <c r="E157" s="180"/>
      <c r="F157" s="10"/>
    </row>
    <row r="158">
      <c r="E158" s="180"/>
      <c r="F158" s="10"/>
    </row>
    <row r="159">
      <c r="E159" s="180"/>
      <c r="F159" s="10"/>
    </row>
    <row r="160">
      <c r="E160" s="180"/>
      <c r="F160" s="10"/>
    </row>
    <row r="161">
      <c r="E161" s="180"/>
      <c r="F161" s="10"/>
    </row>
    <row r="162">
      <c r="E162" s="180"/>
      <c r="F162" s="10"/>
    </row>
    <row r="163">
      <c r="E163" s="180"/>
      <c r="F163" s="10"/>
    </row>
    <row r="164">
      <c r="E164" s="180"/>
      <c r="F164" s="10"/>
    </row>
    <row r="165">
      <c r="E165" s="180"/>
      <c r="F165" s="10"/>
    </row>
    <row r="166">
      <c r="E166" s="180"/>
      <c r="F166" s="10"/>
    </row>
    <row r="167">
      <c r="E167" s="180"/>
      <c r="F167" s="10"/>
    </row>
    <row r="168">
      <c r="E168" s="180"/>
      <c r="F168" s="10"/>
    </row>
    <row r="169">
      <c r="E169" s="180"/>
      <c r="F169" s="10"/>
    </row>
    <row r="170">
      <c r="E170" s="180"/>
      <c r="F170" s="10"/>
    </row>
    <row r="171">
      <c r="E171" s="180"/>
      <c r="F171" s="10"/>
    </row>
    <row r="172">
      <c r="E172" s="180"/>
      <c r="F172" s="10"/>
    </row>
    <row r="173">
      <c r="E173" s="180"/>
      <c r="F173" s="10"/>
    </row>
    <row r="174">
      <c r="E174" s="180"/>
      <c r="F174" s="10"/>
    </row>
    <row r="175">
      <c r="E175" s="180"/>
      <c r="F175" s="10"/>
    </row>
    <row r="176">
      <c r="E176" s="180"/>
      <c r="F176" s="10"/>
    </row>
    <row r="177">
      <c r="E177" s="180"/>
      <c r="F177" s="10"/>
    </row>
    <row r="178">
      <c r="E178" s="180"/>
      <c r="F178" s="10"/>
    </row>
    <row r="179">
      <c r="E179" s="180"/>
      <c r="F179" s="10"/>
    </row>
    <row r="180">
      <c r="E180" s="180"/>
      <c r="F180" s="10"/>
    </row>
    <row r="181">
      <c r="E181" s="180"/>
      <c r="F181" s="10"/>
    </row>
    <row r="182">
      <c r="E182" s="180"/>
      <c r="F182" s="10"/>
    </row>
    <row r="183">
      <c r="E183" s="180"/>
      <c r="F183" s="10"/>
    </row>
    <row r="184">
      <c r="E184" s="180"/>
      <c r="F184" s="10"/>
    </row>
    <row r="185">
      <c r="E185" s="180"/>
      <c r="F185" s="10"/>
    </row>
    <row r="186">
      <c r="E186" s="180"/>
      <c r="F186" s="10"/>
    </row>
    <row r="187">
      <c r="E187" s="180"/>
      <c r="F187" s="10"/>
    </row>
    <row r="188">
      <c r="E188" s="180"/>
      <c r="F188" s="10"/>
    </row>
    <row r="189">
      <c r="E189" s="180"/>
      <c r="F189" s="10"/>
    </row>
    <row r="190">
      <c r="E190" s="180"/>
      <c r="F190" s="10"/>
    </row>
    <row r="191">
      <c r="E191" s="180"/>
      <c r="F191" s="10"/>
    </row>
    <row r="192">
      <c r="E192" s="180"/>
      <c r="F192" s="10"/>
    </row>
    <row r="193">
      <c r="E193" s="180"/>
      <c r="F193" s="10"/>
    </row>
    <row r="194">
      <c r="E194" s="180"/>
      <c r="F194" s="10"/>
    </row>
    <row r="195">
      <c r="E195" s="180"/>
      <c r="F195" s="10"/>
    </row>
    <row r="196">
      <c r="E196" s="180"/>
      <c r="F196" s="10"/>
    </row>
    <row r="197">
      <c r="E197" s="180"/>
      <c r="F197" s="10"/>
    </row>
    <row r="198">
      <c r="E198" s="180"/>
      <c r="F198" s="10"/>
    </row>
    <row r="199">
      <c r="E199" s="180"/>
      <c r="F199" s="10"/>
    </row>
    <row r="200">
      <c r="E200" s="180"/>
      <c r="F200" s="10"/>
    </row>
    <row r="201">
      <c r="E201" s="180"/>
      <c r="F201" s="10"/>
    </row>
    <row r="202">
      <c r="E202" s="180"/>
      <c r="F202" s="10"/>
    </row>
    <row r="203">
      <c r="E203" s="180"/>
      <c r="F203" s="10"/>
    </row>
    <row r="204">
      <c r="E204" s="180"/>
      <c r="F204" s="10"/>
    </row>
    <row r="205">
      <c r="E205" s="180"/>
      <c r="F205" s="10"/>
    </row>
    <row r="206">
      <c r="E206" s="180"/>
      <c r="F206" s="10"/>
    </row>
    <row r="207">
      <c r="E207" s="180"/>
      <c r="F207" s="10"/>
    </row>
    <row r="208">
      <c r="E208" s="180"/>
      <c r="F208" s="10"/>
    </row>
    <row r="209">
      <c r="E209" s="180"/>
      <c r="F209" s="10"/>
    </row>
    <row r="210">
      <c r="E210" s="180"/>
      <c r="F210" s="10"/>
    </row>
    <row r="211">
      <c r="E211" s="180"/>
      <c r="F211" s="10"/>
    </row>
    <row r="212">
      <c r="E212" s="180"/>
      <c r="F212" s="10"/>
    </row>
    <row r="213">
      <c r="E213" s="180"/>
      <c r="F213" s="10"/>
    </row>
    <row r="214">
      <c r="E214" s="180"/>
      <c r="F214" s="10"/>
    </row>
    <row r="215">
      <c r="E215" s="180"/>
      <c r="F215" s="10"/>
    </row>
    <row r="216">
      <c r="E216" s="180"/>
      <c r="F216" s="10"/>
    </row>
    <row r="217">
      <c r="E217" s="180"/>
      <c r="F217" s="10"/>
    </row>
    <row r="218">
      <c r="E218" s="180"/>
      <c r="F218" s="10"/>
    </row>
    <row r="219">
      <c r="E219" s="180"/>
      <c r="F219" s="10"/>
    </row>
    <row r="220">
      <c r="E220" s="180"/>
      <c r="F220" s="10"/>
    </row>
    <row r="221">
      <c r="E221" s="180"/>
      <c r="F221" s="10"/>
    </row>
    <row r="222">
      <c r="E222" s="180"/>
      <c r="F222" s="10"/>
    </row>
    <row r="223">
      <c r="E223" s="180"/>
      <c r="F223" s="10"/>
    </row>
    <row r="224">
      <c r="E224" s="180"/>
      <c r="F224" s="10"/>
    </row>
    <row r="225">
      <c r="E225" s="180"/>
      <c r="F225" s="10"/>
    </row>
    <row r="226">
      <c r="E226" s="180"/>
      <c r="F226" s="10"/>
    </row>
    <row r="227">
      <c r="E227" s="180"/>
      <c r="F227" s="10"/>
    </row>
    <row r="228">
      <c r="E228" s="180"/>
      <c r="F228" s="10"/>
    </row>
    <row r="229">
      <c r="E229" s="180"/>
      <c r="F229" s="10"/>
    </row>
    <row r="230">
      <c r="E230" s="180"/>
      <c r="F230" s="10"/>
    </row>
    <row r="231">
      <c r="E231" s="180"/>
      <c r="F231" s="10"/>
    </row>
    <row r="232">
      <c r="E232" s="180"/>
      <c r="F232" s="10"/>
    </row>
    <row r="233">
      <c r="E233" s="180"/>
      <c r="F233" s="10"/>
    </row>
    <row r="234">
      <c r="E234" s="180"/>
      <c r="F234" s="10"/>
    </row>
    <row r="235">
      <c r="E235" s="180"/>
      <c r="F235" s="10"/>
    </row>
    <row r="236">
      <c r="E236" s="180"/>
      <c r="F236" s="10"/>
    </row>
    <row r="237">
      <c r="E237" s="180"/>
      <c r="F237" s="10"/>
    </row>
    <row r="238">
      <c r="E238" s="180"/>
      <c r="F238" s="10"/>
    </row>
    <row r="239">
      <c r="E239" s="180"/>
      <c r="F239" s="10"/>
    </row>
    <row r="240">
      <c r="E240" s="180"/>
      <c r="F240" s="10"/>
    </row>
    <row r="241">
      <c r="E241" s="180"/>
      <c r="F241" s="10"/>
    </row>
    <row r="242">
      <c r="E242" s="180"/>
      <c r="F242" s="10"/>
    </row>
    <row r="243">
      <c r="E243" s="180"/>
      <c r="F243" s="10"/>
    </row>
    <row r="244">
      <c r="E244" s="180"/>
      <c r="F244" s="10"/>
    </row>
    <row r="245">
      <c r="E245" s="180"/>
      <c r="F245" s="10"/>
    </row>
    <row r="246">
      <c r="E246" s="180"/>
      <c r="F246" s="10"/>
    </row>
    <row r="247">
      <c r="E247" s="180"/>
      <c r="F247" s="10"/>
    </row>
    <row r="248">
      <c r="E248" s="180"/>
      <c r="F248" s="10"/>
    </row>
    <row r="249">
      <c r="E249" s="180"/>
      <c r="F249" s="10"/>
    </row>
    <row r="250">
      <c r="E250" s="180"/>
      <c r="F250" s="10"/>
    </row>
    <row r="251">
      <c r="E251" s="180"/>
      <c r="F251" s="10"/>
    </row>
    <row r="252">
      <c r="E252" s="180"/>
      <c r="F252" s="10"/>
    </row>
    <row r="253">
      <c r="E253" s="180"/>
      <c r="F253" s="10"/>
    </row>
    <row r="254">
      <c r="E254" s="180"/>
      <c r="F254" s="10"/>
    </row>
    <row r="255">
      <c r="E255" s="180"/>
      <c r="F255" s="10"/>
    </row>
    <row r="256">
      <c r="E256" s="180"/>
      <c r="F256" s="10"/>
    </row>
    <row r="257">
      <c r="E257" s="180"/>
      <c r="F257" s="10"/>
    </row>
    <row r="258">
      <c r="E258" s="180"/>
      <c r="F258" s="10"/>
    </row>
    <row r="259">
      <c r="E259" s="180"/>
      <c r="F259" s="10"/>
    </row>
    <row r="260">
      <c r="E260" s="180"/>
      <c r="F260" s="10"/>
    </row>
    <row r="261">
      <c r="E261" s="180"/>
      <c r="F261" s="10"/>
    </row>
    <row r="262">
      <c r="E262" s="180"/>
      <c r="F262" s="10"/>
    </row>
    <row r="263">
      <c r="E263" s="180"/>
      <c r="F263" s="10"/>
    </row>
    <row r="264">
      <c r="E264" s="180"/>
      <c r="F264" s="10"/>
    </row>
    <row r="265">
      <c r="E265" s="180"/>
      <c r="F265" s="10"/>
    </row>
    <row r="266">
      <c r="E266" s="180"/>
      <c r="F266" s="10"/>
    </row>
    <row r="267">
      <c r="E267" s="180"/>
      <c r="F267" s="10"/>
    </row>
    <row r="268">
      <c r="E268" s="180"/>
      <c r="F268" s="10"/>
    </row>
    <row r="269">
      <c r="E269" s="180"/>
      <c r="F269" s="10"/>
    </row>
    <row r="270">
      <c r="E270" s="180"/>
      <c r="F270" s="10"/>
    </row>
    <row r="271">
      <c r="E271" s="180"/>
      <c r="F271" s="10"/>
    </row>
    <row r="272">
      <c r="E272" s="180"/>
      <c r="F272" s="10"/>
    </row>
    <row r="273">
      <c r="E273" s="180"/>
      <c r="F273" s="10"/>
    </row>
    <row r="274">
      <c r="E274" s="180"/>
      <c r="F274" s="10"/>
    </row>
    <row r="275">
      <c r="E275" s="180"/>
      <c r="F275" s="10"/>
    </row>
    <row r="276">
      <c r="E276" s="180"/>
      <c r="F276" s="10"/>
    </row>
    <row r="277">
      <c r="E277" s="180"/>
      <c r="F277" s="10"/>
    </row>
    <row r="278">
      <c r="E278" s="180"/>
      <c r="F278" s="10"/>
    </row>
    <row r="279">
      <c r="E279" s="180"/>
      <c r="F279" s="10"/>
    </row>
    <row r="280">
      <c r="E280" s="180"/>
      <c r="F280" s="10"/>
    </row>
    <row r="281">
      <c r="E281" s="180"/>
      <c r="F281" s="10"/>
    </row>
    <row r="282">
      <c r="E282" s="180"/>
      <c r="F282" s="10"/>
    </row>
    <row r="283">
      <c r="E283" s="180"/>
      <c r="F283" s="10"/>
    </row>
    <row r="284">
      <c r="E284" s="180"/>
      <c r="F284" s="10"/>
    </row>
    <row r="285">
      <c r="E285" s="180"/>
      <c r="F285" s="10"/>
    </row>
    <row r="286">
      <c r="E286" s="180"/>
      <c r="F286" s="10"/>
    </row>
    <row r="287">
      <c r="E287" s="180"/>
      <c r="F287" s="10"/>
    </row>
    <row r="288">
      <c r="E288" s="180"/>
      <c r="F288" s="10"/>
    </row>
    <row r="289">
      <c r="E289" s="180"/>
      <c r="F289" s="10"/>
    </row>
    <row r="290">
      <c r="E290" s="180"/>
      <c r="F290" s="10"/>
    </row>
    <row r="291">
      <c r="E291" s="180"/>
      <c r="F291" s="10"/>
    </row>
    <row r="292">
      <c r="E292" s="180"/>
      <c r="F292" s="10"/>
    </row>
    <row r="293">
      <c r="E293" s="180"/>
      <c r="F293" s="10"/>
    </row>
    <row r="294">
      <c r="E294" s="180"/>
      <c r="F294" s="10"/>
    </row>
    <row r="295">
      <c r="E295" s="180"/>
      <c r="F295" s="10"/>
    </row>
    <row r="296">
      <c r="E296" s="180"/>
      <c r="F296" s="10"/>
    </row>
    <row r="297">
      <c r="E297" s="180"/>
      <c r="F297" s="10"/>
    </row>
    <row r="298">
      <c r="E298" s="180"/>
      <c r="F298" s="10"/>
    </row>
    <row r="299">
      <c r="E299" s="180"/>
      <c r="F299" s="10"/>
    </row>
    <row r="300">
      <c r="E300" s="180"/>
      <c r="F300" s="10"/>
    </row>
    <row r="301">
      <c r="E301" s="180"/>
      <c r="F301" s="10"/>
    </row>
    <row r="302">
      <c r="E302" s="180"/>
      <c r="F302" s="10"/>
    </row>
    <row r="303">
      <c r="E303" s="180"/>
      <c r="F303" s="10"/>
    </row>
    <row r="304">
      <c r="E304" s="180"/>
      <c r="F304" s="10"/>
    </row>
    <row r="305">
      <c r="E305" s="180"/>
      <c r="F305" s="10"/>
    </row>
    <row r="306">
      <c r="E306" s="180"/>
      <c r="F306" s="10"/>
    </row>
    <row r="307">
      <c r="E307" s="180"/>
      <c r="F307" s="10"/>
    </row>
    <row r="308">
      <c r="E308" s="180"/>
      <c r="F308" s="10"/>
    </row>
    <row r="309">
      <c r="E309" s="180"/>
      <c r="F309" s="10"/>
    </row>
    <row r="310">
      <c r="E310" s="180"/>
      <c r="F310" s="10"/>
    </row>
    <row r="311">
      <c r="E311" s="180"/>
      <c r="F311" s="10"/>
    </row>
    <row r="312">
      <c r="E312" s="180"/>
      <c r="F312" s="10"/>
    </row>
    <row r="313">
      <c r="E313" s="180"/>
      <c r="F313" s="10"/>
    </row>
    <row r="314">
      <c r="E314" s="180"/>
      <c r="F314" s="10"/>
    </row>
    <row r="315">
      <c r="E315" s="180"/>
      <c r="F315" s="10"/>
    </row>
    <row r="316">
      <c r="E316" s="180"/>
      <c r="F316" s="10"/>
    </row>
    <row r="317">
      <c r="E317" s="180"/>
      <c r="F317" s="10"/>
    </row>
    <row r="318">
      <c r="E318" s="180"/>
      <c r="F318" s="10"/>
    </row>
    <row r="319">
      <c r="E319" s="180"/>
      <c r="F319" s="10"/>
    </row>
    <row r="320">
      <c r="E320" s="180"/>
      <c r="F320" s="10"/>
    </row>
    <row r="321">
      <c r="E321" s="180"/>
      <c r="F321" s="10"/>
    </row>
    <row r="322">
      <c r="E322" s="180"/>
      <c r="F322" s="10"/>
    </row>
    <row r="323">
      <c r="E323" s="180"/>
      <c r="F323" s="10"/>
    </row>
    <row r="324">
      <c r="E324" s="180"/>
      <c r="F324" s="10"/>
    </row>
    <row r="325">
      <c r="E325" s="180"/>
      <c r="F325" s="10"/>
    </row>
    <row r="326">
      <c r="E326" s="180"/>
      <c r="F326" s="10"/>
    </row>
    <row r="327">
      <c r="E327" s="180"/>
      <c r="F327" s="10"/>
    </row>
    <row r="328">
      <c r="E328" s="180"/>
      <c r="F328" s="10"/>
    </row>
    <row r="329">
      <c r="E329" s="180"/>
      <c r="F329" s="10"/>
    </row>
    <row r="330">
      <c r="E330" s="180"/>
      <c r="F330" s="10"/>
    </row>
    <row r="331">
      <c r="E331" s="180"/>
      <c r="F331" s="10"/>
    </row>
    <row r="332">
      <c r="E332" s="180"/>
      <c r="F332" s="10"/>
    </row>
    <row r="333">
      <c r="E333" s="180"/>
      <c r="F333" s="10"/>
    </row>
    <row r="334">
      <c r="E334" s="180"/>
      <c r="F334" s="10"/>
    </row>
    <row r="335">
      <c r="E335" s="180"/>
      <c r="F335" s="10"/>
    </row>
    <row r="336">
      <c r="E336" s="180"/>
      <c r="F336" s="10"/>
    </row>
    <row r="337">
      <c r="E337" s="180"/>
      <c r="F337" s="10"/>
    </row>
    <row r="338">
      <c r="E338" s="180"/>
      <c r="F338" s="10"/>
    </row>
    <row r="339">
      <c r="E339" s="180"/>
      <c r="F339" s="10"/>
    </row>
    <row r="340">
      <c r="E340" s="180"/>
      <c r="F340" s="10"/>
    </row>
    <row r="341">
      <c r="E341" s="180"/>
      <c r="F341" s="10"/>
    </row>
    <row r="342">
      <c r="E342" s="180"/>
      <c r="F342" s="10"/>
    </row>
    <row r="343">
      <c r="E343" s="180"/>
      <c r="F343" s="10"/>
    </row>
    <row r="344">
      <c r="E344" s="180"/>
      <c r="F344" s="10"/>
    </row>
    <row r="345">
      <c r="E345" s="180"/>
      <c r="F345" s="10"/>
    </row>
    <row r="346">
      <c r="E346" s="180"/>
      <c r="F346" s="10"/>
    </row>
    <row r="347">
      <c r="E347" s="180"/>
      <c r="F347" s="10"/>
    </row>
    <row r="348">
      <c r="E348" s="180"/>
      <c r="F348" s="10"/>
    </row>
    <row r="349">
      <c r="E349" s="180"/>
      <c r="F349" s="10"/>
    </row>
    <row r="350">
      <c r="E350" s="180"/>
      <c r="F350" s="10"/>
    </row>
    <row r="351">
      <c r="E351" s="180"/>
      <c r="F351" s="10"/>
    </row>
    <row r="352">
      <c r="E352" s="180"/>
      <c r="F352" s="10"/>
    </row>
    <row r="353">
      <c r="E353" s="180"/>
      <c r="F353" s="10"/>
    </row>
    <row r="354">
      <c r="E354" s="180"/>
      <c r="F354" s="10"/>
    </row>
    <row r="355">
      <c r="E355" s="180"/>
      <c r="F355" s="10"/>
    </row>
    <row r="356">
      <c r="E356" s="180"/>
      <c r="F356" s="10"/>
    </row>
    <row r="357">
      <c r="E357" s="180"/>
      <c r="F357" s="10"/>
    </row>
    <row r="358">
      <c r="E358" s="180"/>
      <c r="F358" s="10"/>
    </row>
    <row r="359">
      <c r="E359" s="180"/>
      <c r="F359" s="10"/>
    </row>
    <row r="360">
      <c r="E360" s="180"/>
      <c r="F360" s="10"/>
    </row>
    <row r="361">
      <c r="E361" s="180"/>
      <c r="F361" s="10"/>
    </row>
    <row r="362">
      <c r="E362" s="180"/>
      <c r="F362" s="10"/>
    </row>
    <row r="363">
      <c r="E363" s="180"/>
      <c r="F363" s="10"/>
    </row>
    <row r="364">
      <c r="E364" s="180"/>
      <c r="F364" s="10"/>
    </row>
    <row r="365">
      <c r="E365" s="180"/>
      <c r="F365" s="10"/>
    </row>
    <row r="366">
      <c r="E366" s="180"/>
      <c r="F366" s="10"/>
    </row>
    <row r="367">
      <c r="E367" s="180"/>
      <c r="F367" s="10"/>
    </row>
    <row r="368">
      <c r="E368" s="180"/>
      <c r="F368" s="10"/>
    </row>
    <row r="369">
      <c r="E369" s="180"/>
      <c r="F369" s="10"/>
    </row>
    <row r="370">
      <c r="E370" s="180"/>
      <c r="F370" s="10"/>
    </row>
    <row r="371">
      <c r="E371" s="180"/>
      <c r="F371" s="10"/>
    </row>
    <row r="372">
      <c r="E372" s="180"/>
      <c r="F372" s="10"/>
    </row>
    <row r="373">
      <c r="E373" s="180"/>
      <c r="F373" s="10"/>
    </row>
    <row r="374">
      <c r="E374" s="180"/>
      <c r="F374" s="10"/>
    </row>
    <row r="375">
      <c r="E375" s="180"/>
      <c r="F375" s="10"/>
    </row>
    <row r="376">
      <c r="E376" s="180"/>
      <c r="F376" s="10"/>
    </row>
    <row r="377">
      <c r="E377" s="180"/>
      <c r="F377" s="10"/>
    </row>
    <row r="378">
      <c r="E378" s="180"/>
      <c r="F378" s="10"/>
    </row>
    <row r="379">
      <c r="E379" s="180"/>
      <c r="F379" s="10"/>
    </row>
    <row r="380">
      <c r="E380" s="180"/>
      <c r="F380" s="10"/>
    </row>
    <row r="381">
      <c r="E381" s="180"/>
      <c r="F381" s="10"/>
    </row>
    <row r="382">
      <c r="E382" s="180"/>
      <c r="F382" s="10"/>
    </row>
    <row r="383">
      <c r="E383" s="180"/>
      <c r="F383" s="10"/>
    </row>
    <row r="384">
      <c r="E384" s="180"/>
      <c r="F384" s="10"/>
    </row>
    <row r="385">
      <c r="E385" s="180"/>
      <c r="F385" s="10"/>
    </row>
    <row r="386">
      <c r="E386" s="180"/>
      <c r="F386" s="10"/>
    </row>
    <row r="387">
      <c r="E387" s="180"/>
      <c r="F387" s="10"/>
    </row>
    <row r="388">
      <c r="E388" s="180"/>
      <c r="F388" s="10"/>
    </row>
    <row r="389">
      <c r="E389" s="180"/>
      <c r="F389" s="10"/>
    </row>
    <row r="390">
      <c r="E390" s="180"/>
      <c r="F390" s="10"/>
    </row>
    <row r="391">
      <c r="E391" s="180"/>
      <c r="F391" s="10"/>
    </row>
    <row r="392">
      <c r="E392" s="180"/>
      <c r="F392" s="10"/>
    </row>
    <row r="393">
      <c r="E393" s="180"/>
      <c r="F393" s="10"/>
    </row>
    <row r="394">
      <c r="E394" s="180"/>
      <c r="F394" s="10"/>
    </row>
    <row r="395">
      <c r="E395" s="180"/>
      <c r="F395" s="10"/>
    </row>
    <row r="396">
      <c r="E396" s="180"/>
      <c r="F396" s="10"/>
    </row>
    <row r="397">
      <c r="E397" s="180"/>
      <c r="F397" s="10"/>
    </row>
    <row r="398">
      <c r="E398" s="180"/>
      <c r="F398" s="10"/>
    </row>
    <row r="399">
      <c r="E399" s="180"/>
      <c r="F399" s="10"/>
    </row>
    <row r="400">
      <c r="E400" s="180"/>
      <c r="F400" s="10"/>
    </row>
    <row r="401">
      <c r="E401" s="180"/>
      <c r="F401" s="10"/>
    </row>
    <row r="402">
      <c r="E402" s="180"/>
      <c r="F402" s="10"/>
    </row>
    <row r="403">
      <c r="E403" s="180"/>
      <c r="F403" s="10"/>
    </row>
    <row r="404">
      <c r="E404" s="180"/>
      <c r="F404" s="10"/>
    </row>
    <row r="405">
      <c r="E405" s="180"/>
      <c r="F405" s="10"/>
    </row>
    <row r="406">
      <c r="E406" s="180"/>
      <c r="F406" s="10"/>
    </row>
    <row r="407">
      <c r="E407" s="180"/>
      <c r="F407" s="10"/>
    </row>
    <row r="408">
      <c r="E408" s="180"/>
      <c r="F408" s="10"/>
    </row>
    <row r="409">
      <c r="E409" s="180"/>
      <c r="F409" s="10"/>
    </row>
    <row r="410">
      <c r="E410" s="180"/>
      <c r="F410" s="10"/>
    </row>
    <row r="411">
      <c r="E411" s="180"/>
      <c r="F411" s="10"/>
    </row>
    <row r="412">
      <c r="E412" s="180"/>
      <c r="F412" s="10"/>
    </row>
    <row r="413">
      <c r="E413" s="180"/>
      <c r="F413" s="10"/>
    </row>
    <row r="414">
      <c r="E414" s="180"/>
      <c r="F414" s="10"/>
    </row>
    <row r="415">
      <c r="E415" s="180"/>
      <c r="F415" s="10"/>
    </row>
    <row r="416">
      <c r="E416" s="180"/>
      <c r="F416" s="10"/>
    </row>
    <row r="417">
      <c r="E417" s="180"/>
      <c r="F417" s="10"/>
    </row>
    <row r="418">
      <c r="E418" s="180"/>
      <c r="F418" s="10"/>
    </row>
    <row r="419">
      <c r="E419" s="180"/>
      <c r="F419" s="10"/>
    </row>
    <row r="420">
      <c r="E420" s="180"/>
      <c r="F420" s="10"/>
    </row>
    <row r="421">
      <c r="E421" s="180"/>
      <c r="F421" s="10"/>
    </row>
    <row r="422">
      <c r="E422" s="180"/>
      <c r="F422" s="10"/>
    </row>
    <row r="423">
      <c r="E423" s="180"/>
      <c r="F423" s="10"/>
    </row>
    <row r="424">
      <c r="E424" s="180"/>
      <c r="F424" s="10"/>
    </row>
    <row r="425">
      <c r="E425" s="180"/>
      <c r="F425" s="10"/>
    </row>
    <row r="426">
      <c r="E426" s="180"/>
      <c r="F426" s="10"/>
    </row>
    <row r="427">
      <c r="E427" s="180"/>
      <c r="F427" s="10"/>
    </row>
    <row r="428">
      <c r="E428" s="180"/>
      <c r="F428" s="10"/>
    </row>
    <row r="429">
      <c r="E429" s="180"/>
      <c r="F429" s="10"/>
    </row>
    <row r="430">
      <c r="E430" s="180"/>
      <c r="F430" s="10"/>
    </row>
    <row r="431">
      <c r="E431" s="180"/>
      <c r="F431" s="10"/>
    </row>
    <row r="432">
      <c r="E432" s="180"/>
      <c r="F432" s="10"/>
    </row>
    <row r="433">
      <c r="E433" s="180"/>
      <c r="F433" s="10"/>
    </row>
    <row r="434">
      <c r="E434" s="180"/>
      <c r="F434" s="10"/>
    </row>
    <row r="435">
      <c r="E435" s="180"/>
      <c r="F435" s="10"/>
    </row>
    <row r="436">
      <c r="E436" s="180"/>
      <c r="F436" s="10"/>
    </row>
    <row r="437">
      <c r="E437" s="180"/>
      <c r="F437" s="10"/>
    </row>
    <row r="438">
      <c r="E438" s="180"/>
      <c r="F438" s="10"/>
    </row>
    <row r="439">
      <c r="E439" s="180"/>
      <c r="F439" s="10"/>
    </row>
    <row r="440">
      <c r="E440" s="180"/>
      <c r="F440" s="10"/>
    </row>
    <row r="441">
      <c r="E441" s="180"/>
      <c r="F441" s="10"/>
    </row>
    <row r="442">
      <c r="E442" s="180"/>
      <c r="F442" s="10"/>
    </row>
    <row r="443">
      <c r="E443" s="180"/>
      <c r="F443" s="10"/>
    </row>
    <row r="444">
      <c r="E444" s="180"/>
      <c r="F444" s="10"/>
    </row>
    <row r="445">
      <c r="E445" s="180"/>
      <c r="F445" s="10"/>
    </row>
    <row r="446">
      <c r="E446" s="180"/>
      <c r="F446" s="10"/>
    </row>
    <row r="447">
      <c r="E447" s="180"/>
      <c r="F447" s="10"/>
    </row>
    <row r="448">
      <c r="E448" s="180"/>
      <c r="F448" s="10"/>
    </row>
    <row r="449">
      <c r="E449" s="180"/>
      <c r="F449" s="10"/>
    </row>
    <row r="450">
      <c r="E450" s="180"/>
      <c r="F450" s="10"/>
    </row>
    <row r="451">
      <c r="E451" s="180"/>
      <c r="F451" s="10"/>
    </row>
    <row r="452">
      <c r="E452" s="180"/>
      <c r="F452" s="10"/>
    </row>
    <row r="453">
      <c r="E453" s="180"/>
      <c r="F453" s="10"/>
    </row>
    <row r="454">
      <c r="E454" s="180"/>
      <c r="F454" s="10"/>
    </row>
    <row r="455">
      <c r="E455" s="180"/>
      <c r="F455" s="10"/>
    </row>
    <row r="456">
      <c r="E456" s="180"/>
      <c r="F456" s="10"/>
    </row>
    <row r="457">
      <c r="E457" s="180"/>
      <c r="F457" s="10"/>
    </row>
    <row r="458">
      <c r="E458" s="180"/>
      <c r="F458" s="10"/>
    </row>
    <row r="459">
      <c r="E459" s="180"/>
      <c r="F459" s="10"/>
    </row>
    <row r="460">
      <c r="E460" s="180"/>
      <c r="F460" s="10"/>
    </row>
    <row r="461">
      <c r="E461" s="180"/>
      <c r="F461" s="10"/>
    </row>
    <row r="462">
      <c r="E462" s="180"/>
      <c r="F462" s="10"/>
    </row>
    <row r="463">
      <c r="E463" s="180"/>
      <c r="F463" s="10"/>
    </row>
    <row r="464">
      <c r="E464" s="180"/>
      <c r="F464" s="10"/>
    </row>
    <row r="465">
      <c r="E465" s="180"/>
      <c r="F465" s="10"/>
    </row>
    <row r="466">
      <c r="E466" s="180"/>
      <c r="F466" s="10"/>
    </row>
    <row r="467">
      <c r="E467" s="180"/>
      <c r="F467" s="10"/>
    </row>
    <row r="468">
      <c r="E468" s="180"/>
      <c r="F468" s="10"/>
    </row>
    <row r="469">
      <c r="E469" s="180"/>
      <c r="F469" s="10"/>
    </row>
    <row r="470">
      <c r="E470" s="180"/>
      <c r="F470" s="10"/>
    </row>
    <row r="471">
      <c r="E471" s="180"/>
      <c r="F471" s="10"/>
    </row>
    <row r="472">
      <c r="E472" s="180"/>
      <c r="F472" s="10"/>
    </row>
    <row r="473">
      <c r="E473" s="180"/>
      <c r="F473" s="10"/>
    </row>
    <row r="474">
      <c r="E474" s="180"/>
      <c r="F474" s="10"/>
    </row>
    <row r="475">
      <c r="E475" s="180"/>
      <c r="F475" s="10"/>
    </row>
    <row r="476">
      <c r="E476" s="180"/>
      <c r="F476" s="10"/>
    </row>
    <row r="477">
      <c r="E477" s="180"/>
      <c r="F477" s="10"/>
    </row>
    <row r="478">
      <c r="E478" s="180"/>
      <c r="F478" s="10"/>
    </row>
    <row r="479">
      <c r="E479" s="180"/>
      <c r="F479" s="10"/>
    </row>
    <row r="480">
      <c r="E480" s="180"/>
      <c r="F480" s="10"/>
    </row>
    <row r="481">
      <c r="E481" s="180"/>
      <c r="F481" s="10"/>
    </row>
    <row r="482">
      <c r="E482" s="180"/>
      <c r="F482" s="10"/>
    </row>
    <row r="483">
      <c r="E483" s="180"/>
      <c r="F483" s="10"/>
    </row>
    <row r="484">
      <c r="E484" s="180"/>
      <c r="F484" s="10"/>
    </row>
    <row r="485">
      <c r="E485" s="180"/>
      <c r="F485" s="10"/>
    </row>
    <row r="486">
      <c r="E486" s="180"/>
      <c r="F486" s="10"/>
    </row>
    <row r="487">
      <c r="E487" s="180"/>
      <c r="F487" s="10"/>
    </row>
    <row r="488">
      <c r="E488" s="180"/>
      <c r="F488" s="10"/>
    </row>
    <row r="489">
      <c r="E489" s="180"/>
      <c r="F489" s="10"/>
    </row>
    <row r="490">
      <c r="E490" s="180"/>
      <c r="F490" s="10"/>
    </row>
    <row r="491">
      <c r="E491" s="180"/>
      <c r="F491" s="10"/>
    </row>
    <row r="492">
      <c r="E492" s="180"/>
      <c r="F492" s="10"/>
    </row>
    <row r="493">
      <c r="E493" s="180"/>
      <c r="F493" s="10"/>
    </row>
    <row r="494">
      <c r="E494" s="180"/>
      <c r="F494" s="10"/>
    </row>
    <row r="495">
      <c r="E495" s="180"/>
      <c r="F495" s="10"/>
    </row>
    <row r="496">
      <c r="E496" s="180"/>
      <c r="F496" s="10"/>
    </row>
    <row r="497">
      <c r="E497" s="180"/>
      <c r="F497" s="10"/>
    </row>
    <row r="498">
      <c r="E498" s="180"/>
      <c r="F498" s="10"/>
    </row>
    <row r="499">
      <c r="E499" s="180"/>
      <c r="F499" s="10"/>
    </row>
    <row r="500">
      <c r="E500" s="180"/>
      <c r="F500" s="10"/>
    </row>
    <row r="501">
      <c r="E501" s="180"/>
      <c r="F501" s="10"/>
    </row>
    <row r="502">
      <c r="E502" s="180"/>
      <c r="F502" s="10"/>
    </row>
    <row r="503">
      <c r="E503" s="180"/>
      <c r="F503" s="10"/>
    </row>
    <row r="504">
      <c r="E504" s="180"/>
      <c r="F504" s="10"/>
    </row>
    <row r="505">
      <c r="E505" s="180"/>
      <c r="F505" s="10"/>
    </row>
    <row r="506">
      <c r="E506" s="180"/>
      <c r="F506" s="10"/>
    </row>
    <row r="507">
      <c r="E507" s="180"/>
      <c r="F507" s="10"/>
    </row>
    <row r="508">
      <c r="E508" s="180"/>
      <c r="F508" s="10"/>
    </row>
    <row r="509">
      <c r="E509" s="180"/>
      <c r="F509" s="10"/>
    </row>
    <row r="510">
      <c r="E510" s="180"/>
      <c r="F510" s="10"/>
    </row>
    <row r="511">
      <c r="E511" s="180"/>
      <c r="F511" s="10"/>
    </row>
    <row r="512">
      <c r="E512" s="180"/>
      <c r="F512" s="10"/>
    </row>
    <row r="513">
      <c r="E513" s="180"/>
      <c r="F513" s="10"/>
    </row>
    <row r="514">
      <c r="E514" s="180"/>
      <c r="F514" s="10"/>
    </row>
    <row r="515">
      <c r="E515" s="180"/>
      <c r="F515" s="10"/>
    </row>
    <row r="516">
      <c r="E516" s="180"/>
      <c r="F516" s="10"/>
    </row>
    <row r="517">
      <c r="E517" s="180"/>
      <c r="F517" s="10"/>
    </row>
    <row r="518">
      <c r="E518" s="180"/>
      <c r="F518" s="10"/>
    </row>
    <row r="519">
      <c r="E519" s="180"/>
      <c r="F519" s="10"/>
    </row>
    <row r="520">
      <c r="E520" s="180"/>
      <c r="F520" s="10"/>
    </row>
    <row r="521">
      <c r="E521" s="180"/>
      <c r="F521" s="10"/>
    </row>
    <row r="522">
      <c r="E522" s="180"/>
      <c r="F522" s="10"/>
    </row>
    <row r="523">
      <c r="E523" s="180"/>
      <c r="F523" s="10"/>
    </row>
    <row r="524">
      <c r="E524" s="180"/>
      <c r="F524" s="10"/>
    </row>
    <row r="525">
      <c r="E525" s="180"/>
      <c r="F525" s="10"/>
    </row>
    <row r="526">
      <c r="E526" s="180"/>
      <c r="F526" s="10"/>
    </row>
    <row r="527">
      <c r="E527" s="180"/>
      <c r="F527" s="10"/>
    </row>
    <row r="528">
      <c r="E528" s="180"/>
      <c r="F528" s="10"/>
    </row>
    <row r="529">
      <c r="E529" s="180"/>
      <c r="F529" s="10"/>
    </row>
    <row r="530">
      <c r="E530" s="180"/>
      <c r="F530" s="10"/>
    </row>
    <row r="531">
      <c r="E531" s="180"/>
      <c r="F531" s="10"/>
    </row>
    <row r="532">
      <c r="E532" s="180"/>
      <c r="F532" s="10"/>
    </row>
    <row r="533">
      <c r="E533" s="180"/>
      <c r="F533" s="10"/>
    </row>
    <row r="534">
      <c r="E534" s="180"/>
      <c r="F534" s="10"/>
    </row>
    <row r="535">
      <c r="E535" s="180"/>
      <c r="F535" s="10"/>
    </row>
    <row r="536">
      <c r="E536" s="180"/>
      <c r="F536" s="10"/>
    </row>
    <row r="537">
      <c r="E537" s="180"/>
      <c r="F537" s="10"/>
    </row>
    <row r="538">
      <c r="E538" s="180"/>
      <c r="F538" s="10"/>
    </row>
    <row r="539">
      <c r="E539" s="180"/>
      <c r="F539" s="10"/>
    </row>
    <row r="540">
      <c r="E540" s="180"/>
      <c r="F540" s="10"/>
    </row>
    <row r="541">
      <c r="E541" s="180"/>
      <c r="F541" s="10"/>
    </row>
    <row r="542">
      <c r="E542" s="180"/>
      <c r="F542" s="10"/>
    </row>
    <row r="543">
      <c r="E543" s="180"/>
      <c r="F543" s="10"/>
    </row>
    <row r="544">
      <c r="E544" s="180"/>
      <c r="F544" s="10"/>
    </row>
    <row r="545">
      <c r="E545" s="180"/>
      <c r="F545" s="10"/>
    </row>
    <row r="546">
      <c r="E546" s="180"/>
      <c r="F546" s="10"/>
    </row>
    <row r="547">
      <c r="E547" s="180"/>
      <c r="F547" s="10"/>
    </row>
    <row r="548">
      <c r="E548" s="180"/>
      <c r="F548" s="10"/>
    </row>
    <row r="549">
      <c r="E549" s="180"/>
      <c r="F549" s="10"/>
    </row>
    <row r="550">
      <c r="E550" s="180"/>
      <c r="F550" s="10"/>
    </row>
    <row r="551">
      <c r="E551" s="180"/>
      <c r="F551" s="10"/>
    </row>
    <row r="552">
      <c r="E552" s="180"/>
      <c r="F552" s="10"/>
    </row>
    <row r="553">
      <c r="E553" s="180"/>
      <c r="F553" s="10"/>
    </row>
    <row r="554">
      <c r="E554" s="180"/>
      <c r="F554" s="10"/>
    </row>
    <row r="555">
      <c r="E555" s="180"/>
      <c r="F555" s="10"/>
    </row>
    <row r="556">
      <c r="E556" s="180"/>
      <c r="F556" s="10"/>
    </row>
    <row r="557">
      <c r="E557" s="180"/>
      <c r="F557" s="10"/>
    </row>
    <row r="558">
      <c r="E558" s="180"/>
      <c r="F558" s="10"/>
    </row>
    <row r="559">
      <c r="E559" s="180"/>
      <c r="F559" s="10"/>
    </row>
    <row r="560">
      <c r="E560" s="180"/>
      <c r="F560" s="10"/>
    </row>
    <row r="561">
      <c r="E561" s="180"/>
      <c r="F561" s="10"/>
    </row>
    <row r="562">
      <c r="E562" s="180"/>
      <c r="F562" s="10"/>
    </row>
    <row r="563">
      <c r="E563" s="180"/>
      <c r="F563" s="10"/>
    </row>
    <row r="564">
      <c r="E564" s="180"/>
      <c r="F564" s="10"/>
    </row>
    <row r="565">
      <c r="E565" s="180"/>
      <c r="F565" s="10"/>
    </row>
    <row r="566">
      <c r="E566" s="180"/>
      <c r="F566" s="10"/>
    </row>
    <row r="567">
      <c r="E567" s="180"/>
      <c r="F567" s="10"/>
    </row>
    <row r="568">
      <c r="E568" s="180"/>
      <c r="F568" s="10"/>
    </row>
    <row r="569">
      <c r="E569" s="180"/>
      <c r="F569" s="10"/>
    </row>
    <row r="570">
      <c r="E570" s="180"/>
      <c r="F570" s="10"/>
    </row>
    <row r="571">
      <c r="E571" s="180"/>
      <c r="F571" s="10"/>
    </row>
    <row r="572">
      <c r="E572" s="180"/>
      <c r="F572" s="10"/>
    </row>
    <row r="573">
      <c r="E573" s="180"/>
      <c r="F573" s="10"/>
    </row>
    <row r="574">
      <c r="E574" s="180"/>
      <c r="F574" s="10"/>
    </row>
    <row r="575">
      <c r="E575" s="180"/>
      <c r="F575" s="10"/>
    </row>
    <row r="576">
      <c r="E576" s="180"/>
      <c r="F576" s="10"/>
    </row>
    <row r="577">
      <c r="E577" s="180"/>
      <c r="F577" s="10"/>
    </row>
    <row r="578">
      <c r="E578" s="180"/>
      <c r="F578" s="10"/>
    </row>
    <row r="579">
      <c r="E579" s="180"/>
      <c r="F579" s="10"/>
    </row>
    <row r="580">
      <c r="E580" s="180"/>
      <c r="F580" s="10"/>
    </row>
    <row r="581">
      <c r="E581" s="180"/>
      <c r="F581" s="10"/>
    </row>
    <row r="582">
      <c r="E582" s="180"/>
      <c r="F582" s="10"/>
    </row>
    <row r="583">
      <c r="E583" s="180"/>
      <c r="F583" s="10"/>
    </row>
    <row r="584">
      <c r="E584" s="180"/>
      <c r="F584" s="10"/>
    </row>
    <row r="585">
      <c r="E585" s="180"/>
      <c r="F585" s="10"/>
    </row>
    <row r="586">
      <c r="E586" s="180"/>
      <c r="F586" s="10"/>
    </row>
    <row r="587">
      <c r="E587" s="180"/>
      <c r="F587" s="10"/>
    </row>
    <row r="588">
      <c r="E588" s="180"/>
      <c r="F588" s="10"/>
    </row>
    <row r="589">
      <c r="E589" s="180"/>
      <c r="F589" s="10"/>
    </row>
    <row r="590">
      <c r="E590" s="180"/>
      <c r="F590" s="10"/>
    </row>
    <row r="591">
      <c r="E591" s="180"/>
      <c r="F591" s="10"/>
    </row>
    <row r="592">
      <c r="E592" s="180"/>
      <c r="F592" s="10"/>
    </row>
    <row r="593">
      <c r="E593" s="180"/>
      <c r="F593" s="10"/>
    </row>
    <row r="594">
      <c r="E594" s="180"/>
      <c r="F594" s="10"/>
    </row>
    <row r="595">
      <c r="E595" s="180"/>
      <c r="F595" s="10"/>
    </row>
    <row r="596">
      <c r="E596" s="180"/>
      <c r="F596" s="10"/>
    </row>
    <row r="597">
      <c r="E597" s="180"/>
      <c r="F597" s="10"/>
    </row>
    <row r="598">
      <c r="E598" s="180"/>
      <c r="F598" s="10"/>
    </row>
    <row r="599">
      <c r="E599" s="180"/>
      <c r="F599" s="10"/>
    </row>
    <row r="600">
      <c r="E600" s="180"/>
      <c r="F600" s="10"/>
    </row>
    <row r="601">
      <c r="E601" s="180"/>
      <c r="F601" s="10"/>
    </row>
    <row r="602">
      <c r="E602" s="180"/>
      <c r="F602" s="10"/>
    </row>
    <row r="603">
      <c r="E603" s="180"/>
      <c r="F603" s="10"/>
    </row>
    <row r="604">
      <c r="E604" s="180"/>
      <c r="F604" s="10"/>
    </row>
    <row r="605">
      <c r="E605" s="180"/>
      <c r="F605" s="10"/>
    </row>
    <row r="606">
      <c r="E606" s="180"/>
      <c r="F606" s="10"/>
    </row>
    <row r="607">
      <c r="E607" s="180"/>
      <c r="F607" s="10"/>
    </row>
    <row r="608">
      <c r="E608" s="180"/>
      <c r="F608" s="10"/>
    </row>
    <row r="609">
      <c r="E609" s="180"/>
      <c r="F609" s="10"/>
    </row>
    <row r="610">
      <c r="E610" s="180"/>
      <c r="F610" s="10"/>
    </row>
    <row r="611">
      <c r="E611" s="180"/>
      <c r="F611" s="10"/>
    </row>
    <row r="612">
      <c r="E612" s="180"/>
      <c r="F612" s="10"/>
    </row>
    <row r="613">
      <c r="E613" s="180"/>
      <c r="F613" s="10"/>
    </row>
    <row r="614">
      <c r="E614" s="180"/>
      <c r="F614" s="10"/>
    </row>
    <row r="615">
      <c r="E615" s="180"/>
      <c r="F615" s="10"/>
    </row>
    <row r="616">
      <c r="E616" s="180"/>
      <c r="F616" s="10"/>
    </row>
    <row r="617">
      <c r="E617" s="180"/>
      <c r="F617" s="10"/>
    </row>
    <row r="618">
      <c r="E618" s="180"/>
      <c r="F618" s="10"/>
    </row>
    <row r="619">
      <c r="E619" s="180"/>
      <c r="F619" s="10"/>
    </row>
    <row r="620">
      <c r="E620" s="180"/>
      <c r="F620" s="10"/>
    </row>
    <row r="621">
      <c r="E621" s="180"/>
      <c r="F621" s="10"/>
    </row>
    <row r="622">
      <c r="E622" s="180"/>
      <c r="F622" s="10"/>
    </row>
    <row r="623">
      <c r="E623" s="180"/>
      <c r="F623" s="10"/>
    </row>
    <row r="624">
      <c r="E624" s="180"/>
      <c r="F624" s="10"/>
    </row>
    <row r="625">
      <c r="E625" s="180"/>
      <c r="F625" s="10"/>
    </row>
    <row r="626">
      <c r="E626" s="180"/>
      <c r="F626" s="10"/>
    </row>
    <row r="627">
      <c r="E627" s="180"/>
      <c r="F627" s="10"/>
    </row>
    <row r="628">
      <c r="E628" s="180"/>
      <c r="F628" s="10"/>
    </row>
    <row r="629">
      <c r="E629" s="180"/>
      <c r="F629" s="10"/>
    </row>
    <row r="630">
      <c r="E630" s="180"/>
      <c r="F630" s="10"/>
    </row>
    <row r="631">
      <c r="E631" s="180"/>
      <c r="F631" s="10"/>
    </row>
    <row r="632">
      <c r="E632" s="180"/>
      <c r="F632" s="10"/>
    </row>
    <row r="633">
      <c r="E633" s="180"/>
      <c r="F633" s="10"/>
    </row>
    <row r="634">
      <c r="E634" s="180"/>
      <c r="F634" s="10"/>
    </row>
    <row r="635">
      <c r="E635" s="180"/>
      <c r="F635" s="10"/>
    </row>
    <row r="636">
      <c r="E636" s="180"/>
      <c r="F636" s="10"/>
    </row>
    <row r="637">
      <c r="E637" s="180"/>
      <c r="F637" s="10"/>
    </row>
    <row r="638">
      <c r="E638" s="180"/>
      <c r="F638" s="10"/>
    </row>
    <row r="639">
      <c r="E639" s="180"/>
      <c r="F639" s="10"/>
    </row>
    <row r="640">
      <c r="E640" s="180"/>
      <c r="F640" s="10"/>
    </row>
    <row r="641">
      <c r="E641" s="180"/>
      <c r="F641" s="10"/>
    </row>
    <row r="642">
      <c r="E642" s="180"/>
      <c r="F642" s="10"/>
    </row>
    <row r="643">
      <c r="E643" s="180"/>
      <c r="F643" s="10"/>
    </row>
    <row r="644">
      <c r="E644" s="180"/>
      <c r="F644" s="10"/>
    </row>
    <row r="645">
      <c r="E645" s="180"/>
      <c r="F645" s="10"/>
    </row>
    <row r="646">
      <c r="E646" s="180"/>
      <c r="F646" s="10"/>
    </row>
    <row r="647">
      <c r="E647" s="180"/>
      <c r="F647" s="10"/>
    </row>
    <row r="648">
      <c r="E648" s="180"/>
      <c r="F648" s="10"/>
    </row>
    <row r="649">
      <c r="E649" s="180"/>
      <c r="F649" s="10"/>
    </row>
    <row r="650">
      <c r="E650" s="180"/>
      <c r="F650" s="10"/>
    </row>
    <row r="651">
      <c r="E651" s="180"/>
      <c r="F651" s="10"/>
    </row>
    <row r="652">
      <c r="E652" s="180"/>
      <c r="F652" s="10"/>
    </row>
    <row r="653">
      <c r="E653" s="180"/>
      <c r="F653" s="10"/>
    </row>
    <row r="654">
      <c r="E654" s="180"/>
      <c r="F654" s="10"/>
    </row>
    <row r="655">
      <c r="E655" s="180"/>
      <c r="F655" s="10"/>
    </row>
    <row r="656">
      <c r="E656" s="180"/>
      <c r="F656" s="10"/>
    </row>
    <row r="657">
      <c r="E657" s="180"/>
      <c r="F657" s="10"/>
    </row>
    <row r="658">
      <c r="E658" s="180"/>
      <c r="F658" s="10"/>
    </row>
    <row r="659">
      <c r="E659" s="180"/>
      <c r="F659" s="10"/>
    </row>
    <row r="660">
      <c r="E660" s="180"/>
      <c r="F660" s="10"/>
    </row>
    <row r="661">
      <c r="E661" s="180"/>
      <c r="F661" s="10"/>
    </row>
    <row r="662">
      <c r="E662" s="180"/>
      <c r="F662" s="10"/>
    </row>
    <row r="663">
      <c r="E663" s="180"/>
      <c r="F663" s="10"/>
    </row>
    <row r="664">
      <c r="E664" s="180"/>
      <c r="F664" s="10"/>
    </row>
    <row r="665">
      <c r="E665" s="180"/>
      <c r="F665" s="10"/>
    </row>
    <row r="666">
      <c r="E666" s="180"/>
      <c r="F666" s="10"/>
    </row>
    <row r="667">
      <c r="E667" s="180"/>
      <c r="F667" s="10"/>
    </row>
    <row r="668">
      <c r="E668" s="180"/>
      <c r="F668" s="10"/>
    </row>
    <row r="669">
      <c r="E669" s="180"/>
      <c r="F669" s="10"/>
    </row>
    <row r="670">
      <c r="E670" s="180"/>
      <c r="F670" s="10"/>
    </row>
    <row r="671">
      <c r="E671" s="180"/>
      <c r="F671" s="10"/>
    </row>
    <row r="672">
      <c r="E672" s="180"/>
      <c r="F672" s="10"/>
    </row>
    <row r="673">
      <c r="E673" s="180"/>
      <c r="F673" s="10"/>
    </row>
    <row r="674">
      <c r="E674" s="180"/>
      <c r="F674" s="10"/>
    </row>
    <row r="675">
      <c r="E675" s="180"/>
      <c r="F675" s="10"/>
    </row>
    <row r="676">
      <c r="E676" s="180"/>
      <c r="F676" s="10"/>
    </row>
    <row r="677">
      <c r="E677" s="180"/>
      <c r="F677" s="10"/>
    </row>
    <row r="678">
      <c r="E678" s="180"/>
      <c r="F678" s="10"/>
    </row>
    <row r="679">
      <c r="E679" s="180"/>
      <c r="F679" s="10"/>
    </row>
    <row r="680">
      <c r="E680" s="180"/>
      <c r="F680" s="10"/>
    </row>
    <row r="681">
      <c r="E681" s="180"/>
      <c r="F681" s="10"/>
    </row>
    <row r="682">
      <c r="E682" s="180"/>
      <c r="F682" s="10"/>
    </row>
    <row r="683">
      <c r="E683" s="180"/>
      <c r="F683" s="10"/>
    </row>
    <row r="684">
      <c r="E684" s="180"/>
      <c r="F684" s="10"/>
    </row>
    <row r="685">
      <c r="E685" s="180"/>
      <c r="F685" s="10"/>
    </row>
    <row r="686">
      <c r="E686" s="180"/>
      <c r="F686" s="10"/>
    </row>
    <row r="687">
      <c r="E687" s="180"/>
      <c r="F687" s="10"/>
    </row>
    <row r="688">
      <c r="E688" s="180"/>
      <c r="F688" s="10"/>
    </row>
    <row r="689">
      <c r="E689" s="180"/>
      <c r="F689" s="10"/>
    </row>
    <row r="690">
      <c r="E690" s="180"/>
      <c r="F690" s="10"/>
    </row>
    <row r="691">
      <c r="E691" s="180"/>
      <c r="F691" s="10"/>
    </row>
    <row r="692">
      <c r="E692" s="180"/>
      <c r="F692" s="10"/>
    </row>
    <row r="693">
      <c r="E693" s="180"/>
      <c r="F693" s="10"/>
    </row>
    <row r="694">
      <c r="E694" s="180"/>
      <c r="F694" s="10"/>
    </row>
    <row r="695">
      <c r="E695" s="180"/>
      <c r="F695" s="10"/>
    </row>
    <row r="696">
      <c r="E696" s="180"/>
      <c r="F696" s="10"/>
    </row>
    <row r="697">
      <c r="E697" s="180"/>
      <c r="F697" s="10"/>
    </row>
    <row r="698">
      <c r="E698" s="180"/>
      <c r="F698" s="10"/>
    </row>
    <row r="699">
      <c r="E699" s="180"/>
      <c r="F699" s="10"/>
    </row>
    <row r="700">
      <c r="E700" s="180"/>
      <c r="F700" s="10"/>
    </row>
    <row r="701">
      <c r="E701" s="180"/>
      <c r="F701" s="10"/>
    </row>
    <row r="702">
      <c r="E702" s="180"/>
      <c r="F702" s="10"/>
    </row>
    <row r="703">
      <c r="E703" s="180"/>
      <c r="F703" s="10"/>
    </row>
    <row r="704">
      <c r="E704" s="180"/>
      <c r="F704" s="10"/>
    </row>
    <row r="705">
      <c r="E705" s="180"/>
      <c r="F705" s="10"/>
    </row>
    <row r="706">
      <c r="E706" s="180"/>
      <c r="F706" s="10"/>
    </row>
    <row r="707">
      <c r="E707" s="180"/>
      <c r="F707" s="10"/>
    </row>
    <row r="708">
      <c r="E708" s="180"/>
      <c r="F708" s="10"/>
    </row>
    <row r="709">
      <c r="E709" s="180"/>
      <c r="F709" s="10"/>
    </row>
    <row r="710">
      <c r="E710" s="180"/>
      <c r="F710" s="10"/>
    </row>
    <row r="711">
      <c r="E711" s="180"/>
      <c r="F711" s="10"/>
    </row>
    <row r="712">
      <c r="E712" s="180"/>
      <c r="F712" s="10"/>
    </row>
    <row r="713">
      <c r="E713" s="180"/>
      <c r="F713" s="10"/>
    </row>
    <row r="714">
      <c r="E714" s="180"/>
      <c r="F714" s="10"/>
    </row>
    <row r="715">
      <c r="E715" s="180"/>
      <c r="F715" s="10"/>
    </row>
    <row r="716">
      <c r="E716" s="180"/>
      <c r="F716" s="10"/>
    </row>
    <row r="717">
      <c r="E717" s="180"/>
      <c r="F717" s="10"/>
    </row>
    <row r="718">
      <c r="E718" s="180"/>
      <c r="F718" s="10"/>
    </row>
    <row r="719">
      <c r="E719" s="180"/>
      <c r="F719" s="10"/>
    </row>
    <row r="720">
      <c r="E720" s="180"/>
      <c r="F720" s="10"/>
    </row>
    <row r="721">
      <c r="E721" s="180"/>
      <c r="F721" s="10"/>
    </row>
    <row r="722">
      <c r="E722" s="180"/>
      <c r="F722" s="10"/>
    </row>
    <row r="723">
      <c r="E723" s="180"/>
      <c r="F723" s="10"/>
    </row>
    <row r="724">
      <c r="E724" s="180"/>
      <c r="F724" s="10"/>
    </row>
    <row r="725">
      <c r="E725" s="180"/>
      <c r="F725" s="10"/>
    </row>
    <row r="726">
      <c r="E726" s="180"/>
      <c r="F726" s="10"/>
    </row>
    <row r="727">
      <c r="E727" s="180"/>
      <c r="F727" s="10"/>
    </row>
    <row r="728">
      <c r="E728" s="180"/>
      <c r="F728" s="10"/>
    </row>
    <row r="729">
      <c r="E729" s="180"/>
      <c r="F729" s="10"/>
    </row>
    <row r="730">
      <c r="E730" s="180"/>
      <c r="F730" s="10"/>
    </row>
    <row r="731">
      <c r="E731" s="180"/>
      <c r="F731" s="10"/>
    </row>
    <row r="732">
      <c r="E732" s="180"/>
      <c r="F732" s="10"/>
    </row>
    <row r="733">
      <c r="E733" s="180"/>
      <c r="F733" s="10"/>
    </row>
    <row r="734">
      <c r="E734" s="180"/>
      <c r="F734" s="10"/>
    </row>
    <row r="735">
      <c r="E735" s="180"/>
      <c r="F735" s="10"/>
    </row>
    <row r="736">
      <c r="E736" s="180"/>
      <c r="F736" s="10"/>
    </row>
    <row r="737">
      <c r="E737" s="180"/>
      <c r="F737" s="10"/>
    </row>
    <row r="738">
      <c r="E738" s="180"/>
      <c r="F738" s="10"/>
    </row>
    <row r="739">
      <c r="E739" s="180"/>
      <c r="F739" s="10"/>
    </row>
    <row r="740">
      <c r="E740" s="180"/>
      <c r="F740" s="10"/>
    </row>
    <row r="741">
      <c r="E741" s="180"/>
      <c r="F741" s="10"/>
    </row>
    <row r="742">
      <c r="E742" s="180"/>
      <c r="F742" s="10"/>
    </row>
    <row r="743">
      <c r="E743" s="180"/>
      <c r="F743" s="10"/>
    </row>
    <row r="744">
      <c r="E744" s="180"/>
      <c r="F744" s="10"/>
    </row>
    <row r="745">
      <c r="E745" s="180"/>
      <c r="F745" s="10"/>
    </row>
    <row r="746">
      <c r="E746" s="180"/>
      <c r="F746" s="10"/>
    </row>
    <row r="747">
      <c r="E747" s="180"/>
      <c r="F747" s="10"/>
    </row>
    <row r="748">
      <c r="E748" s="180"/>
      <c r="F748" s="10"/>
    </row>
    <row r="749">
      <c r="E749" s="180"/>
      <c r="F749" s="10"/>
    </row>
    <row r="750">
      <c r="E750" s="180"/>
      <c r="F750" s="10"/>
    </row>
    <row r="751">
      <c r="E751" s="180"/>
      <c r="F751" s="10"/>
    </row>
    <row r="752">
      <c r="E752" s="180"/>
      <c r="F752" s="10"/>
    </row>
    <row r="753">
      <c r="E753" s="180"/>
      <c r="F753" s="10"/>
    </row>
    <row r="754">
      <c r="E754" s="180"/>
      <c r="F754" s="10"/>
    </row>
    <row r="755">
      <c r="E755" s="180"/>
      <c r="F755" s="10"/>
    </row>
    <row r="756">
      <c r="E756" s="180"/>
      <c r="F756" s="10"/>
    </row>
    <row r="757">
      <c r="E757" s="180"/>
      <c r="F757" s="10"/>
    </row>
    <row r="758">
      <c r="E758" s="180"/>
      <c r="F758" s="10"/>
    </row>
    <row r="759">
      <c r="E759" s="180"/>
      <c r="F759" s="10"/>
    </row>
    <row r="760">
      <c r="E760" s="180"/>
      <c r="F760" s="10"/>
    </row>
    <row r="761">
      <c r="E761" s="180"/>
      <c r="F761" s="10"/>
    </row>
    <row r="762">
      <c r="E762" s="180"/>
      <c r="F762" s="10"/>
    </row>
    <row r="763">
      <c r="E763" s="180"/>
      <c r="F763" s="10"/>
    </row>
    <row r="764">
      <c r="E764" s="180"/>
      <c r="F764" s="10"/>
    </row>
    <row r="765">
      <c r="E765" s="180"/>
      <c r="F765" s="10"/>
    </row>
    <row r="766">
      <c r="E766" s="180"/>
      <c r="F766" s="10"/>
    </row>
    <row r="767">
      <c r="E767" s="180"/>
      <c r="F767" s="10"/>
    </row>
    <row r="768">
      <c r="E768" s="180"/>
      <c r="F768" s="10"/>
    </row>
    <row r="769">
      <c r="E769" s="180"/>
      <c r="F769" s="10"/>
    </row>
    <row r="770">
      <c r="E770" s="180"/>
      <c r="F770" s="10"/>
    </row>
    <row r="771">
      <c r="E771" s="180"/>
      <c r="F771" s="10"/>
    </row>
    <row r="772">
      <c r="E772" s="180"/>
      <c r="F772" s="10"/>
    </row>
    <row r="773">
      <c r="E773" s="180"/>
      <c r="F773" s="10"/>
    </row>
    <row r="774">
      <c r="E774" s="180"/>
      <c r="F774" s="10"/>
    </row>
    <row r="775">
      <c r="E775" s="180"/>
      <c r="F775" s="10"/>
    </row>
    <row r="776">
      <c r="E776" s="180"/>
      <c r="F776" s="10"/>
    </row>
    <row r="777">
      <c r="E777" s="180"/>
      <c r="F777" s="10"/>
    </row>
    <row r="778">
      <c r="E778" s="180"/>
      <c r="F778" s="10"/>
    </row>
    <row r="779">
      <c r="E779" s="180"/>
      <c r="F779" s="10"/>
    </row>
    <row r="780">
      <c r="E780" s="180"/>
      <c r="F780" s="10"/>
    </row>
    <row r="781">
      <c r="E781" s="180"/>
      <c r="F781" s="10"/>
    </row>
    <row r="782">
      <c r="E782" s="180"/>
      <c r="F782" s="10"/>
    </row>
    <row r="783">
      <c r="E783" s="180"/>
      <c r="F783" s="10"/>
    </row>
    <row r="784">
      <c r="E784" s="180"/>
      <c r="F784" s="10"/>
    </row>
    <row r="785">
      <c r="E785" s="180"/>
      <c r="F785" s="10"/>
    </row>
    <row r="786">
      <c r="E786" s="180"/>
      <c r="F786" s="10"/>
    </row>
    <row r="787">
      <c r="E787" s="180"/>
      <c r="F787" s="10"/>
    </row>
    <row r="788">
      <c r="E788" s="180"/>
      <c r="F788" s="10"/>
    </row>
    <row r="789">
      <c r="E789" s="180"/>
      <c r="F789" s="10"/>
    </row>
    <row r="790">
      <c r="E790" s="180"/>
      <c r="F790" s="10"/>
    </row>
    <row r="791">
      <c r="E791" s="180"/>
      <c r="F791" s="10"/>
    </row>
    <row r="792">
      <c r="E792" s="180"/>
      <c r="F792" s="10"/>
    </row>
    <row r="793">
      <c r="E793" s="180"/>
      <c r="F793" s="10"/>
    </row>
    <row r="794">
      <c r="E794" s="180"/>
      <c r="F794" s="10"/>
    </row>
    <row r="795">
      <c r="E795" s="180"/>
      <c r="F795" s="10"/>
    </row>
    <row r="796">
      <c r="E796" s="180"/>
      <c r="F796" s="10"/>
    </row>
    <row r="797">
      <c r="E797" s="180"/>
      <c r="F797" s="10"/>
    </row>
    <row r="798">
      <c r="E798" s="180"/>
      <c r="F798" s="10"/>
    </row>
    <row r="799">
      <c r="E799" s="180"/>
      <c r="F799" s="10"/>
    </row>
    <row r="800">
      <c r="E800" s="180"/>
      <c r="F800" s="10"/>
    </row>
    <row r="801">
      <c r="E801" s="180"/>
      <c r="F801" s="10"/>
    </row>
    <row r="802">
      <c r="E802" s="180"/>
      <c r="F802" s="10"/>
    </row>
    <row r="803">
      <c r="E803" s="180"/>
      <c r="F803" s="10"/>
    </row>
    <row r="804">
      <c r="E804" s="180"/>
      <c r="F804" s="10"/>
    </row>
    <row r="805">
      <c r="E805" s="180"/>
      <c r="F805" s="10"/>
    </row>
    <row r="806">
      <c r="E806" s="180"/>
      <c r="F806" s="10"/>
    </row>
    <row r="807">
      <c r="E807" s="180"/>
      <c r="F807" s="10"/>
    </row>
    <row r="808">
      <c r="E808" s="180"/>
      <c r="F808" s="10"/>
    </row>
    <row r="809">
      <c r="E809" s="180"/>
      <c r="F809" s="10"/>
    </row>
    <row r="810">
      <c r="E810" s="180"/>
      <c r="F810" s="10"/>
    </row>
    <row r="811">
      <c r="E811" s="180"/>
      <c r="F811" s="10"/>
    </row>
    <row r="812">
      <c r="E812" s="180"/>
      <c r="F812" s="10"/>
    </row>
    <row r="813">
      <c r="E813" s="180"/>
      <c r="F813" s="10"/>
    </row>
    <row r="814">
      <c r="E814" s="180"/>
      <c r="F814" s="10"/>
    </row>
    <row r="815">
      <c r="E815" s="180"/>
      <c r="F815" s="10"/>
    </row>
    <row r="816">
      <c r="E816" s="180"/>
      <c r="F816" s="10"/>
    </row>
    <row r="817">
      <c r="E817" s="180"/>
      <c r="F817" s="10"/>
    </row>
    <row r="818">
      <c r="E818" s="180"/>
      <c r="F818" s="10"/>
    </row>
    <row r="819">
      <c r="E819" s="180"/>
      <c r="F819" s="10"/>
    </row>
    <row r="820">
      <c r="E820" s="180"/>
      <c r="F820" s="10"/>
    </row>
    <row r="821">
      <c r="E821" s="180"/>
      <c r="F821" s="10"/>
    </row>
    <row r="822">
      <c r="E822" s="180"/>
      <c r="F822" s="10"/>
    </row>
    <row r="823">
      <c r="E823" s="180"/>
      <c r="F823" s="10"/>
    </row>
    <row r="824">
      <c r="E824" s="180"/>
      <c r="F824" s="10"/>
    </row>
    <row r="825">
      <c r="E825" s="180"/>
      <c r="F825" s="10"/>
    </row>
    <row r="826">
      <c r="E826" s="180"/>
      <c r="F826" s="10"/>
    </row>
    <row r="827">
      <c r="E827" s="180"/>
      <c r="F827" s="10"/>
    </row>
    <row r="828">
      <c r="E828" s="180"/>
      <c r="F828" s="10"/>
    </row>
    <row r="829">
      <c r="E829" s="180"/>
      <c r="F829" s="10"/>
    </row>
    <row r="830">
      <c r="E830" s="180"/>
      <c r="F830" s="10"/>
    </row>
    <row r="831">
      <c r="E831" s="180"/>
      <c r="F831" s="10"/>
    </row>
    <row r="832">
      <c r="E832" s="180"/>
      <c r="F832" s="10"/>
    </row>
    <row r="833">
      <c r="E833" s="180"/>
      <c r="F833" s="10"/>
    </row>
    <row r="834">
      <c r="E834" s="180"/>
      <c r="F834" s="10"/>
    </row>
    <row r="835">
      <c r="E835" s="180"/>
      <c r="F835" s="10"/>
    </row>
    <row r="836">
      <c r="E836" s="180"/>
      <c r="F836" s="10"/>
    </row>
    <row r="837">
      <c r="E837" s="180"/>
      <c r="F837" s="10"/>
    </row>
    <row r="838">
      <c r="E838" s="180"/>
      <c r="F838" s="10"/>
    </row>
    <row r="839">
      <c r="E839" s="180"/>
      <c r="F839" s="10"/>
    </row>
    <row r="840">
      <c r="E840" s="180"/>
      <c r="F840" s="10"/>
    </row>
    <row r="841">
      <c r="E841" s="180"/>
      <c r="F841" s="10"/>
    </row>
    <row r="842">
      <c r="E842" s="180"/>
      <c r="F842" s="10"/>
    </row>
    <row r="843">
      <c r="E843" s="180"/>
      <c r="F843" s="10"/>
    </row>
    <row r="844">
      <c r="E844" s="180"/>
      <c r="F844" s="10"/>
    </row>
    <row r="845">
      <c r="E845" s="180"/>
      <c r="F845" s="10"/>
    </row>
    <row r="846">
      <c r="E846" s="180"/>
      <c r="F846" s="10"/>
    </row>
    <row r="847">
      <c r="E847" s="180"/>
      <c r="F847" s="10"/>
    </row>
    <row r="848">
      <c r="E848" s="180"/>
      <c r="F848" s="10"/>
    </row>
    <row r="849">
      <c r="E849" s="180"/>
      <c r="F849" s="10"/>
    </row>
    <row r="850">
      <c r="E850" s="180"/>
      <c r="F850" s="10"/>
    </row>
    <row r="851">
      <c r="E851" s="180"/>
      <c r="F851" s="10"/>
    </row>
    <row r="852">
      <c r="E852" s="180"/>
      <c r="F852" s="10"/>
    </row>
    <row r="853">
      <c r="E853" s="180"/>
      <c r="F853" s="10"/>
    </row>
    <row r="854">
      <c r="E854" s="180"/>
      <c r="F854" s="10"/>
    </row>
    <row r="855">
      <c r="E855" s="180"/>
      <c r="F855" s="10"/>
    </row>
    <row r="856">
      <c r="E856" s="180"/>
      <c r="F856" s="10"/>
    </row>
    <row r="857">
      <c r="E857" s="180"/>
      <c r="F857" s="10"/>
    </row>
    <row r="858">
      <c r="E858" s="180"/>
      <c r="F858" s="10"/>
    </row>
    <row r="859">
      <c r="E859" s="180"/>
      <c r="F859" s="10"/>
    </row>
    <row r="860">
      <c r="E860" s="180"/>
      <c r="F860" s="10"/>
    </row>
    <row r="861">
      <c r="E861" s="180"/>
      <c r="F861" s="10"/>
    </row>
    <row r="862">
      <c r="E862" s="180"/>
      <c r="F862" s="10"/>
    </row>
    <row r="863">
      <c r="E863" s="180"/>
      <c r="F863" s="10"/>
    </row>
    <row r="864">
      <c r="E864" s="180"/>
      <c r="F864" s="10"/>
    </row>
    <row r="865">
      <c r="E865" s="180"/>
      <c r="F865" s="10"/>
    </row>
    <row r="866">
      <c r="E866" s="180"/>
      <c r="F866" s="10"/>
    </row>
    <row r="867">
      <c r="E867" s="180"/>
      <c r="F867" s="10"/>
    </row>
    <row r="868">
      <c r="E868" s="180"/>
      <c r="F868" s="10"/>
    </row>
    <row r="869">
      <c r="E869" s="180"/>
      <c r="F869" s="10"/>
    </row>
    <row r="870">
      <c r="E870" s="180"/>
      <c r="F870" s="10"/>
    </row>
    <row r="871">
      <c r="E871" s="180"/>
      <c r="F871" s="10"/>
    </row>
    <row r="872">
      <c r="E872" s="180"/>
      <c r="F872" s="10"/>
    </row>
    <row r="873">
      <c r="E873" s="180"/>
      <c r="F873" s="10"/>
    </row>
    <row r="874">
      <c r="E874" s="180"/>
      <c r="F874" s="10"/>
    </row>
    <row r="875">
      <c r="E875" s="180"/>
      <c r="F875" s="10"/>
    </row>
    <row r="876">
      <c r="E876" s="180"/>
      <c r="F876" s="10"/>
    </row>
    <row r="877">
      <c r="E877" s="180"/>
      <c r="F877" s="10"/>
    </row>
    <row r="878">
      <c r="E878" s="180"/>
      <c r="F878" s="10"/>
    </row>
    <row r="879">
      <c r="E879" s="180"/>
      <c r="F879" s="10"/>
    </row>
    <row r="880">
      <c r="E880" s="180"/>
      <c r="F880" s="10"/>
    </row>
    <row r="881">
      <c r="E881" s="180"/>
      <c r="F881" s="10"/>
    </row>
    <row r="882">
      <c r="E882" s="180"/>
      <c r="F882" s="10"/>
    </row>
    <row r="883">
      <c r="E883" s="180"/>
      <c r="F883" s="10"/>
    </row>
    <row r="884">
      <c r="E884" s="180"/>
      <c r="F884" s="10"/>
    </row>
    <row r="885">
      <c r="E885" s="180"/>
      <c r="F885" s="10"/>
    </row>
    <row r="886">
      <c r="E886" s="180"/>
      <c r="F886" s="10"/>
    </row>
    <row r="887">
      <c r="E887" s="180"/>
      <c r="F887" s="10"/>
    </row>
    <row r="888">
      <c r="E888" s="180"/>
      <c r="F888" s="10"/>
    </row>
    <row r="889">
      <c r="E889" s="180"/>
      <c r="F889" s="10"/>
    </row>
    <row r="890">
      <c r="E890" s="180"/>
      <c r="F890" s="10"/>
    </row>
    <row r="891">
      <c r="E891" s="180"/>
      <c r="F891" s="10"/>
    </row>
    <row r="892">
      <c r="E892" s="180"/>
      <c r="F892" s="10"/>
    </row>
    <row r="893">
      <c r="E893" s="180"/>
      <c r="F893" s="10"/>
    </row>
    <row r="894">
      <c r="E894" s="180"/>
      <c r="F894" s="10"/>
    </row>
    <row r="895">
      <c r="E895" s="180"/>
      <c r="F895" s="10"/>
    </row>
    <row r="896">
      <c r="E896" s="180"/>
      <c r="F896" s="10"/>
    </row>
    <row r="897">
      <c r="E897" s="180"/>
      <c r="F897" s="10"/>
    </row>
    <row r="898">
      <c r="E898" s="180"/>
      <c r="F898" s="10"/>
    </row>
    <row r="899">
      <c r="E899" s="180"/>
      <c r="F899" s="10"/>
    </row>
    <row r="900">
      <c r="E900" s="180"/>
      <c r="F900" s="10"/>
    </row>
    <row r="901">
      <c r="E901" s="180"/>
      <c r="F901" s="10"/>
    </row>
    <row r="902">
      <c r="E902" s="180"/>
      <c r="F902" s="10"/>
    </row>
    <row r="903">
      <c r="E903" s="180"/>
      <c r="F903" s="10"/>
    </row>
    <row r="904">
      <c r="E904" s="180"/>
      <c r="F904" s="10"/>
    </row>
    <row r="905">
      <c r="E905" s="180"/>
      <c r="F905" s="10"/>
    </row>
    <row r="906">
      <c r="E906" s="180"/>
      <c r="F906" s="10"/>
    </row>
    <row r="907">
      <c r="E907" s="180"/>
      <c r="F907" s="10"/>
    </row>
    <row r="908">
      <c r="E908" s="180"/>
      <c r="F908" s="10"/>
    </row>
    <row r="909">
      <c r="E909" s="180"/>
      <c r="F909" s="10"/>
    </row>
    <row r="910">
      <c r="E910" s="180"/>
      <c r="F910" s="10"/>
    </row>
    <row r="911">
      <c r="E911" s="180"/>
      <c r="F911" s="10"/>
    </row>
    <row r="912">
      <c r="E912" s="180"/>
      <c r="F912" s="10"/>
    </row>
    <row r="913">
      <c r="E913" s="180"/>
      <c r="F913" s="10"/>
    </row>
    <row r="914">
      <c r="E914" s="180"/>
      <c r="F914" s="10"/>
    </row>
    <row r="915">
      <c r="E915" s="180"/>
      <c r="F915" s="10"/>
    </row>
    <row r="916">
      <c r="E916" s="180"/>
      <c r="F916" s="10"/>
    </row>
    <row r="917">
      <c r="E917" s="180"/>
      <c r="F917" s="10"/>
    </row>
    <row r="918">
      <c r="E918" s="180"/>
      <c r="F918" s="10"/>
    </row>
    <row r="919">
      <c r="E919" s="180"/>
      <c r="F919" s="10"/>
    </row>
    <row r="920">
      <c r="E920" s="180"/>
      <c r="F920" s="10"/>
    </row>
    <row r="921">
      <c r="E921" s="180"/>
      <c r="F921" s="10"/>
    </row>
    <row r="922">
      <c r="E922" s="180"/>
      <c r="F922" s="10"/>
    </row>
    <row r="923">
      <c r="E923" s="180"/>
      <c r="F923" s="10"/>
    </row>
    <row r="924">
      <c r="E924" s="180"/>
      <c r="F924" s="10"/>
    </row>
    <row r="925">
      <c r="E925" s="180"/>
      <c r="F925" s="10"/>
    </row>
    <row r="926">
      <c r="E926" s="180"/>
      <c r="F926" s="10"/>
    </row>
    <row r="927">
      <c r="E927" s="180"/>
      <c r="F927" s="10"/>
    </row>
    <row r="928">
      <c r="E928" s="180"/>
      <c r="F928" s="10"/>
    </row>
    <row r="929">
      <c r="E929" s="180"/>
      <c r="F929" s="10"/>
    </row>
    <row r="930">
      <c r="E930" s="180"/>
      <c r="F930" s="10"/>
    </row>
    <row r="931">
      <c r="E931" s="180"/>
      <c r="F931" s="10"/>
    </row>
    <row r="932">
      <c r="E932" s="180"/>
      <c r="F932" s="10"/>
    </row>
    <row r="933">
      <c r="E933" s="180"/>
      <c r="F933" s="10"/>
    </row>
    <row r="934">
      <c r="E934" s="180"/>
      <c r="F934" s="10"/>
    </row>
    <row r="935">
      <c r="E935" s="180"/>
      <c r="F935" s="10"/>
    </row>
    <row r="936">
      <c r="E936" s="180"/>
      <c r="F936" s="10"/>
    </row>
    <row r="937">
      <c r="E937" s="180"/>
      <c r="F937" s="10"/>
    </row>
    <row r="938">
      <c r="E938" s="180"/>
      <c r="F938" s="10"/>
    </row>
    <row r="939">
      <c r="E939" s="180"/>
      <c r="F939" s="10"/>
    </row>
    <row r="940">
      <c r="E940" s="180"/>
      <c r="F940" s="10"/>
    </row>
    <row r="941">
      <c r="E941" s="180"/>
      <c r="F941" s="10"/>
    </row>
    <row r="942">
      <c r="E942" s="180"/>
      <c r="F942" s="10"/>
    </row>
    <row r="943">
      <c r="E943" s="180"/>
      <c r="F943" s="10"/>
    </row>
    <row r="944">
      <c r="E944" s="180"/>
      <c r="F944" s="10"/>
    </row>
    <row r="945">
      <c r="E945" s="180"/>
      <c r="F945" s="10"/>
    </row>
    <row r="946">
      <c r="E946" s="180"/>
      <c r="F946" s="10"/>
    </row>
    <row r="947">
      <c r="E947" s="180"/>
      <c r="F947" s="10"/>
    </row>
    <row r="948">
      <c r="E948" s="180"/>
      <c r="F948" s="10"/>
    </row>
    <row r="949">
      <c r="E949" s="180"/>
      <c r="F949" s="10"/>
    </row>
    <row r="950">
      <c r="E950" s="180"/>
      <c r="F950" s="10"/>
    </row>
    <row r="951">
      <c r="E951" s="180"/>
      <c r="F951" s="10"/>
    </row>
    <row r="952">
      <c r="E952" s="180"/>
      <c r="F952" s="10"/>
    </row>
    <row r="953">
      <c r="E953" s="180"/>
      <c r="F953" s="10"/>
    </row>
    <row r="954">
      <c r="E954" s="180"/>
      <c r="F954" s="10"/>
    </row>
    <row r="955">
      <c r="E955" s="180"/>
      <c r="F955" s="10"/>
    </row>
    <row r="956">
      <c r="E956" s="180"/>
      <c r="F956" s="10"/>
    </row>
    <row r="957">
      <c r="E957" s="180"/>
      <c r="F957" s="10"/>
    </row>
    <row r="958">
      <c r="E958" s="180"/>
      <c r="F958" s="10"/>
    </row>
    <row r="959">
      <c r="E959" s="180"/>
      <c r="F959" s="10"/>
    </row>
    <row r="960">
      <c r="E960" s="180"/>
      <c r="F960" s="10"/>
    </row>
    <row r="961">
      <c r="E961" s="180"/>
      <c r="F961" s="10"/>
    </row>
    <row r="962">
      <c r="E962" s="180"/>
      <c r="F962" s="10"/>
    </row>
    <row r="963">
      <c r="E963" s="180"/>
      <c r="F963" s="10"/>
    </row>
    <row r="964">
      <c r="E964" s="180"/>
      <c r="F964" s="10"/>
    </row>
    <row r="965">
      <c r="E965" s="180"/>
      <c r="F965" s="10"/>
    </row>
    <row r="966">
      <c r="E966" s="180"/>
      <c r="F966" s="10"/>
    </row>
    <row r="967">
      <c r="E967" s="180"/>
      <c r="F967" s="10"/>
    </row>
    <row r="968">
      <c r="E968" s="180"/>
      <c r="F968" s="10"/>
    </row>
    <row r="969">
      <c r="E969" s="180"/>
      <c r="F969" s="10"/>
    </row>
    <row r="970">
      <c r="E970" s="180"/>
      <c r="F970" s="10"/>
    </row>
    <row r="971">
      <c r="E971" s="180"/>
      <c r="F971" s="10"/>
    </row>
    <row r="972">
      <c r="E972" s="180"/>
      <c r="F972" s="10"/>
    </row>
    <row r="973">
      <c r="E973" s="180"/>
      <c r="F973" s="10"/>
    </row>
    <row r="974">
      <c r="E974" s="180"/>
      <c r="F974" s="10"/>
    </row>
    <row r="975">
      <c r="E975" s="180"/>
      <c r="F975" s="10"/>
    </row>
    <row r="976">
      <c r="E976" s="180"/>
      <c r="F976" s="10"/>
    </row>
    <row r="977">
      <c r="E977" s="180"/>
      <c r="F977" s="10"/>
    </row>
    <row r="978">
      <c r="E978" s="180"/>
      <c r="F978" s="10"/>
    </row>
    <row r="979">
      <c r="E979" s="180"/>
      <c r="F979" s="10"/>
    </row>
    <row r="980">
      <c r="E980" s="180"/>
      <c r="F980" s="10"/>
    </row>
    <row r="981">
      <c r="E981" s="180"/>
      <c r="F981" s="10"/>
    </row>
    <row r="982">
      <c r="E982" s="180"/>
      <c r="F982" s="10"/>
    </row>
    <row r="983">
      <c r="E983" s="180"/>
      <c r="F983" s="10"/>
    </row>
    <row r="984">
      <c r="E984" s="180"/>
      <c r="F984" s="10"/>
    </row>
    <row r="985">
      <c r="E985" s="180"/>
      <c r="F985" s="10"/>
    </row>
    <row r="986">
      <c r="E986" s="180"/>
      <c r="F986" s="10"/>
    </row>
    <row r="987">
      <c r="E987" s="180"/>
      <c r="F987" s="10"/>
    </row>
    <row r="988">
      <c r="E988" s="180"/>
      <c r="F988" s="10"/>
    </row>
    <row r="989">
      <c r="E989" s="180"/>
      <c r="F989" s="10"/>
    </row>
    <row r="990">
      <c r="E990" s="180"/>
      <c r="F990" s="10"/>
    </row>
    <row r="991">
      <c r="E991" s="180"/>
      <c r="F991" s="10"/>
    </row>
    <row r="992">
      <c r="E992" s="180"/>
      <c r="F992" s="10"/>
    </row>
    <row r="993">
      <c r="E993" s="180"/>
      <c r="F993" s="10"/>
    </row>
    <row r="994">
      <c r="E994" s="180"/>
      <c r="F994" s="10"/>
    </row>
    <row r="995">
      <c r="E995" s="180"/>
      <c r="F995" s="10"/>
    </row>
    <row r="996">
      <c r="E996" s="180"/>
      <c r="F996" s="10"/>
    </row>
    <row r="997">
      <c r="E997" s="180"/>
      <c r="F997" s="10"/>
    </row>
    <row r="998">
      <c r="E998" s="180"/>
      <c r="F998" s="10"/>
    </row>
    <row r="999">
      <c r="E999" s="180"/>
      <c r="F999" s="10"/>
    </row>
    <row r="1000">
      <c r="E1000" s="180"/>
      <c r="F1000" s="10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5"/>
  </cols>
  <sheetData>
    <row r="1">
      <c r="A1" s="218" t="s">
        <v>1</v>
      </c>
      <c r="B1" s="218" t="s">
        <v>3</v>
      </c>
      <c r="C1" s="218" t="s">
        <v>4</v>
      </c>
      <c r="D1" s="218" t="s">
        <v>6</v>
      </c>
      <c r="E1" s="219" t="s">
        <v>7</v>
      </c>
      <c r="F1" s="218" t="s">
        <v>486</v>
      </c>
      <c r="G1" s="218" t="s">
        <v>487</v>
      </c>
      <c r="H1" s="218" t="s">
        <v>13</v>
      </c>
      <c r="I1" s="218" t="s">
        <v>15</v>
      </c>
      <c r="J1" s="218" t="s">
        <v>17</v>
      </c>
      <c r="K1" s="218" t="s">
        <v>19</v>
      </c>
    </row>
    <row r="2">
      <c r="A2" s="20" t="s">
        <v>35</v>
      </c>
      <c r="B2" s="22" t="s">
        <v>41</v>
      </c>
      <c r="C2" s="25" t="s">
        <v>38</v>
      </c>
      <c r="D2" s="25" t="s">
        <v>42</v>
      </c>
      <c r="E2" s="25" t="s">
        <v>44</v>
      </c>
      <c r="F2" s="25" t="s">
        <v>53</v>
      </c>
      <c r="G2" s="25">
        <v>8.0</v>
      </c>
      <c r="H2" s="118">
        <v>11.0</v>
      </c>
      <c r="I2" s="25">
        <v>13.0</v>
      </c>
      <c r="J2" s="25">
        <v>15.0</v>
      </c>
      <c r="K2" s="25" t="s">
        <v>64</v>
      </c>
    </row>
    <row r="3">
      <c r="A3" s="59"/>
      <c r="B3" s="59"/>
      <c r="C3" s="25" t="s">
        <v>65</v>
      </c>
      <c r="D3" s="25" t="s">
        <v>69</v>
      </c>
      <c r="E3" s="25" t="s">
        <v>8</v>
      </c>
      <c r="F3" s="25" t="s">
        <v>135</v>
      </c>
      <c r="G3" s="64">
        <v>0.55</v>
      </c>
      <c r="H3" s="120">
        <v>0.59</v>
      </c>
      <c r="I3" s="64">
        <v>0.7</v>
      </c>
      <c r="J3" s="64">
        <v>0.8</v>
      </c>
      <c r="K3" s="25" t="s">
        <v>146</v>
      </c>
    </row>
    <row r="4">
      <c r="A4" s="59"/>
      <c r="B4" s="59"/>
      <c r="C4" s="25" t="s">
        <v>93</v>
      </c>
      <c r="D4" s="25" t="s">
        <v>95</v>
      </c>
      <c r="E4" s="25" t="s">
        <v>96</v>
      </c>
      <c r="F4" s="25" t="s">
        <v>163</v>
      </c>
      <c r="G4" s="25">
        <v>15.0</v>
      </c>
      <c r="H4" s="118">
        <v>20.0</v>
      </c>
      <c r="I4" s="25">
        <v>23.0</v>
      </c>
      <c r="J4" s="25">
        <v>25.0</v>
      </c>
      <c r="K4" s="25" t="s">
        <v>170</v>
      </c>
    </row>
    <row r="5">
      <c r="A5" s="85"/>
      <c r="B5" s="85"/>
      <c r="C5" s="25" t="s">
        <v>111</v>
      </c>
      <c r="D5" s="25" t="s">
        <v>114</v>
      </c>
      <c r="E5" s="25" t="s">
        <v>115</v>
      </c>
      <c r="F5" s="25" t="s">
        <v>187</v>
      </c>
      <c r="G5" s="86">
        <v>46237.0</v>
      </c>
      <c r="H5" s="118" t="s">
        <v>116</v>
      </c>
      <c r="I5" s="86">
        <v>46057.0</v>
      </c>
      <c r="J5" s="86">
        <v>46116.0</v>
      </c>
      <c r="K5" s="25" t="s">
        <v>191</v>
      </c>
    </row>
    <row r="6">
      <c r="A6" s="104" t="s">
        <v>208</v>
      </c>
      <c r="B6" s="22" t="s">
        <v>210</v>
      </c>
      <c r="C6" s="25" t="s">
        <v>129</v>
      </c>
      <c r="D6" s="25" t="s">
        <v>130</v>
      </c>
      <c r="E6" s="25" t="s">
        <v>131</v>
      </c>
      <c r="F6" s="25" t="s">
        <v>187</v>
      </c>
      <c r="G6" s="86">
        <v>46268.0</v>
      </c>
      <c r="H6" s="220">
        <v>46026.0</v>
      </c>
      <c r="I6" s="86">
        <v>46085.0</v>
      </c>
      <c r="J6" s="86">
        <v>46146.0</v>
      </c>
      <c r="K6" s="25" t="s">
        <v>218</v>
      </c>
    </row>
    <row r="7">
      <c r="A7" s="59"/>
      <c r="B7" s="59"/>
      <c r="C7" s="25" t="s">
        <v>151</v>
      </c>
      <c r="D7" s="25" t="s">
        <v>153</v>
      </c>
      <c r="E7" s="25" t="s">
        <v>132</v>
      </c>
      <c r="F7" s="25" t="s">
        <v>187</v>
      </c>
      <c r="G7" s="64">
        <v>0.6</v>
      </c>
      <c r="H7" s="120">
        <v>0.7</v>
      </c>
      <c r="I7" s="64">
        <v>0.85</v>
      </c>
      <c r="J7" s="64">
        <v>0.9</v>
      </c>
      <c r="K7" s="25" t="s">
        <v>242</v>
      </c>
    </row>
    <row r="8">
      <c r="A8" s="59"/>
      <c r="B8" s="59"/>
      <c r="C8" s="25" t="s">
        <v>172</v>
      </c>
      <c r="D8" s="25" t="s">
        <v>173</v>
      </c>
      <c r="E8" s="25" t="s">
        <v>39</v>
      </c>
      <c r="F8" s="25" t="s">
        <v>187</v>
      </c>
      <c r="G8" s="64">
        <v>0.8</v>
      </c>
      <c r="H8" s="120">
        <v>0.85</v>
      </c>
      <c r="I8" s="64">
        <v>0.88</v>
      </c>
      <c r="J8" s="64">
        <v>0.9</v>
      </c>
      <c r="K8" s="25" t="s">
        <v>262</v>
      </c>
    </row>
    <row r="9">
      <c r="A9" s="85"/>
      <c r="B9" s="85"/>
      <c r="C9" s="25" t="s">
        <v>165</v>
      </c>
      <c r="D9" s="25" t="s">
        <v>167</v>
      </c>
      <c r="E9" s="25" t="s">
        <v>185</v>
      </c>
      <c r="F9" s="64">
        <v>0.9</v>
      </c>
      <c r="G9" s="64">
        <v>0.92</v>
      </c>
      <c r="H9" s="120">
        <v>0.95</v>
      </c>
      <c r="I9" s="64">
        <v>0.98</v>
      </c>
      <c r="J9" s="64">
        <v>1.0</v>
      </c>
      <c r="K9" s="25" t="s">
        <v>284</v>
      </c>
    </row>
    <row r="10">
      <c r="A10" s="104" t="s">
        <v>303</v>
      </c>
      <c r="B10" s="22" t="s">
        <v>305</v>
      </c>
      <c r="C10" s="25" t="s">
        <v>199</v>
      </c>
      <c r="D10" s="25" t="s">
        <v>200</v>
      </c>
      <c r="E10" s="25" t="s">
        <v>201</v>
      </c>
      <c r="F10" s="25" t="s">
        <v>187</v>
      </c>
      <c r="G10" s="64">
        <v>0.78</v>
      </c>
      <c r="H10" s="120">
        <v>0.82</v>
      </c>
      <c r="I10" s="64">
        <v>0.85</v>
      </c>
      <c r="J10" s="64">
        <v>0.88</v>
      </c>
      <c r="K10" s="25" t="s">
        <v>308</v>
      </c>
    </row>
    <row r="11">
      <c r="A11" s="59"/>
      <c r="B11" s="59"/>
      <c r="C11" s="25" t="s">
        <v>222</v>
      </c>
      <c r="D11" s="25" t="s">
        <v>223</v>
      </c>
      <c r="E11" s="25" t="s">
        <v>156</v>
      </c>
      <c r="F11" s="25" t="s">
        <v>187</v>
      </c>
      <c r="G11" s="64">
        <v>0.65</v>
      </c>
      <c r="H11" s="120">
        <v>0.8</v>
      </c>
      <c r="I11" s="64">
        <v>0.9</v>
      </c>
      <c r="J11" s="64">
        <v>0.95</v>
      </c>
      <c r="K11" s="25" t="s">
        <v>318</v>
      </c>
    </row>
    <row r="12">
      <c r="A12" s="59"/>
      <c r="B12" s="59"/>
      <c r="C12" s="25" t="s">
        <v>243</v>
      </c>
      <c r="D12" s="25" t="s">
        <v>244</v>
      </c>
      <c r="E12" s="25" t="s">
        <v>47</v>
      </c>
      <c r="F12" s="25" t="s">
        <v>187</v>
      </c>
      <c r="G12" s="64">
        <v>0.6</v>
      </c>
      <c r="H12" s="120">
        <v>0.7</v>
      </c>
      <c r="I12" s="64">
        <v>0.78</v>
      </c>
      <c r="J12" s="64">
        <v>0.82</v>
      </c>
      <c r="K12" s="25" t="s">
        <v>343</v>
      </c>
    </row>
    <row r="13">
      <c r="A13" s="85"/>
      <c r="B13" s="85"/>
      <c r="C13" s="25" t="s">
        <v>260</v>
      </c>
      <c r="D13" s="25" t="s">
        <v>263</v>
      </c>
      <c r="E13" s="25" t="s">
        <v>54</v>
      </c>
      <c r="F13" s="25" t="s">
        <v>187</v>
      </c>
      <c r="G13" s="25" t="s">
        <v>357</v>
      </c>
      <c r="H13" s="118" t="s">
        <v>264</v>
      </c>
      <c r="I13" s="25" t="s">
        <v>361</v>
      </c>
      <c r="J13" s="25" t="s">
        <v>362</v>
      </c>
      <c r="K13" s="25" t="s">
        <v>343</v>
      </c>
    </row>
    <row r="14">
      <c r="A14" s="104" t="s">
        <v>370</v>
      </c>
      <c r="B14" s="22" t="s">
        <v>371</v>
      </c>
      <c r="C14" s="25" t="s">
        <v>280</v>
      </c>
      <c r="D14" s="25" t="s">
        <v>282</v>
      </c>
      <c r="E14" s="25" t="s">
        <v>63</v>
      </c>
      <c r="F14" s="25" t="s">
        <v>376</v>
      </c>
      <c r="G14" s="25" t="s">
        <v>377</v>
      </c>
      <c r="H14" s="118" t="s">
        <v>283</v>
      </c>
      <c r="I14" s="25" t="s">
        <v>71</v>
      </c>
      <c r="J14" s="25" t="s">
        <v>71</v>
      </c>
      <c r="K14" s="25" t="s">
        <v>379</v>
      </c>
    </row>
    <row r="15">
      <c r="A15" s="59"/>
      <c r="B15" s="59"/>
      <c r="C15" s="25" t="s">
        <v>186</v>
      </c>
      <c r="D15" s="25" t="s">
        <v>188</v>
      </c>
      <c r="E15" s="25" t="s">
        <v>296</v>
      </c>
      <c r="F15" s="25" t="s">
        <v>388</v>
      </c>
      <c r="G15" s="25">
        <v>1.0</v>
      </c>
      <c r="H15" s="118">
        <v>0.0</v>
      </c>
      <c r="I15" s="25">
        <v>0.0</v>
      </c>
      <c r="J15" s="25">
        <v>0.0</v>
      </c>
      <c r="K15" s="25" t="s">
        <v>390</v>
      </c>
    </row>
    <row r="16">
      <c r="A16" s="59"/>
      <c r="B16" s="59"/>
      <c r="C16" s="25" t="s">
        <v>101</v>
      </c>
      <c r="D16" s="25" t="s">
        <v>103</v>
      </c>
      <c r="E16" s="25" t="s">
        <v>107</v>
      </c>
      <c r="F16" s="25" t="s">
        <v>187</v>
      </c>
      <c r="G16" s="25">
        <v>5.0</v>
      </c>
      <c r="H16" s="118">
        <v>10.0</v>
      </c>
      <c r="I16" s="25">
        <v>18.0</v>
      </c>
      <c r="J16" s="25">
        <v>25.0</v>
      </c>
      <c r="K16" s="25" t="s">
        <v>399</v>
      </c>
    </row>
    <row r="17">
      <c r="A17" s="85"/>
      <c r="B17" s="85"/>
      <c r="C17" s="25" t="s">
        <v>190</v>
      </c>
      <c r="D17" s="25" t="s">
        <v>192</v>
      </c>
      <c r="E17" s="25" t="s">
        <v>329</v>
      </c>
      <c r="F17" s="25" t="s">
        <v>187</v>
      </c>
      <c r="G17" s="86">
        <v>46176.0</v>
      </c>
      <c r="H17" s="118" t="s">
        <v>116</v>
      </c>
      <c r="I17" s="86">
        <v>46057.0</v>
      </c>
      <c r="J17" s="86">
        <v>46116.0</v>
      </c>
      <c r="K17" s="25" t="s">
        <v>404</v>
      </c>
    </row>
    <row r="18">
      <c r="A18" s="104" t="s">
        <v>410</v>
      </c>
      <c r="B18" s="22" t="s">
        <v>412</v>
      </c>
      <c r="C18" s="25" t="s">
        <v>257</v>
      </c>
      <c r="D18" s="25" t="s">
        <v>345</v>
      </c>
      <c r="E18" s="25" t="s">
        <v>347</v>
      </c>
      <c r="F18" s="25" t="s">
        <v>414</v>
      </c>
      <c r="G18" s="25">
        <v>7.0</v>
      </c>
      <c r="H18" s="118">
        <v>12.0</v>
      </c>
      <c r="I18" s="25">
        <v>18.0</v>
      </c>
      <c r="J18" s="25">
        <v>25.0</v>
      </c>
      <c r="K18" s="25" t="s">
        <v>416</v>
      </c>
    </row>
    <row r="19">
      <c r="A19" s="59"/>
      <c r="B19" s="59"/>
      <c r="C19" s="25" t="s">
        <v>246</v>
      </c>
      <c r="D19" s="25" t="s">
        <v>500</v>
      </c>
      <c r="E19" s="25" t="s">
        <v>354</v>
      </c>
      <c r="F19" s="25" t="s">
        <v>187</v>
      </c>
      <c r="G19" s="64">
        <v>0.4</v>
      </c>
      <c r="H19" s="120">
        <v>0.55</v>
      </c>
      <c r="I19" s="64">
        <v>0.7</v>
      </c>
      <c r="J19" s="64">
        <v>0.8</v>
      </c>
      <c r="K19" s="25" t="s">
        <v>421</v>
      </c>
    </row>
    <row r="20">
      <c r="A20" s="59"/>
      <c r="B20" s="59"/>
      <c r="C20" s="25" t="s">
        <v>211</v>
      </c>
      <c r="D20" s="25" t="s">
        <v>213</v>
      </c>
      <c r="E20" s="25" t="s">
        <v>378</v>
      </c>
      <c r="F20" s="25" t="s">
        <v>426</v>
      </c>
      <c r="G20" s="64">
        <v>0.5</v>
      </c>
      <c r="H20" s="120">
        <v>0.65</v>
      </c>
      <c r="I20" s="64">
        <v>0.75</v>
      </c>
      <c r="J20" s="64">
        <v>0.8</v>
      </c>
      <c r="K20" s="25" t="s">
        <v>428</v>
      </c>
    </row>
    <row r="21">
      <c r="A21" s="85"/>
      <c r="B21" s="85"/>
      <c r="C21" s="25" t="s">
        <v>202</v>
      </c>
      <c r="D21" s="25" t="s">
        <v>204</v>
      </c>
      <c r="E21" s="25" t="s">
        <v>324</v>
      </c>
      <c r="F21" s="25" t="s">
        <v>187</v>
      </c>
      <c r="G21" s="64">
        <v>0.05</v>
      </c>
      <c r="H21" s="120">
        <v>0.1</v>
      </c>
      <c r="I21" s="64">
        <v>0.15</v>
      </c>
      <c r="J21" s="64">
        <v>0.2</v>
      </c>
      <c r="K21" s="25" t="s">
        <v>434</v>
      </c>
    </row>
    <row r="22">
      <c r="A22" s="104" t="s">
        <v>438</v>
      </c>
      <c r="B22" s="22" t="s">
        <v>440</v>
      </c>
      <c r="C22" s="25" t="s">
        <v>136</v>
      </c>
      <c r="D22" s="25" t="s">
        <v>138</v>
      </c>
      <c r="E22" s="25" t="s">
        <v>121</v>
      </c>
      <c r="F22" s="25" t="s">
        <v>187</v>
      </c>
      <c r="G22" s="64">
        <v>0.8</v>
      </c>
      <c r="H22" s="120">
        <v>0.82</v>
      </c>
      <c r="I22" s="64">
        <v>0.86</v>
      </c>
      <c r="J22" s="64">
        <v>0.9</v>
      </c>
      <c r="K22" s="25" t="s">
        <v>441</v>
      </c>
    </row>
    <row r="23">
      <c r="A23" s="59"/>
      <c r="B23" s="59"/>
      <c r="C23" s="25" t="s">
        <v>207</v>
      </c>
      <c r="D23" s="25" t="s">
        <v>209</v>
      </c>
      <c r="E23" s="25" t="s">
        <v>396</v>
      </c>
      <c r="F23" s="25" t="s">
        <v>187</v>
      </c>
      <c r="G23" s="64">
        <v>0.7</v>
      </c>
      <c r="H23" s="120">
        <v>0.85</v>
      </c>
      <c r="I23" s="64">
        <v>0.95</v>
      </c>
      <c r="J23" s="64">
        <v>1.0</v>
      </c>
      <c r="K23" s="25" t="s">
        <v>242</v>
      </c>
    </row>
    <row r="24">
      <c r="A24" s="59"/>
      <c r="B24" s="59"/>
      <c r="C24" s="25" t="s">
        <v>216</v>
      </c>
      <c r="D24" s="25" t="s">
        <v>219</v>
      </c>
      <c r="E24" s="25" t="s">
        <v>99</v>
      </c>
      <c r="F24" s="25" t="s">
        <v>187</v>
      </c>
      <c r="G24" s="64">
        <v>0.15</v>
      </c>
      <c r="H24" s="120">
        <v>0.2</v>
      </c>
      <c r="I24" s="64">
        <v>0.3</v>
      </c>
      <c r="J24" s="64">
        <v>0.4</v>
      </c>
      <c r="K24" s="25" t="s">
        <v>445</v>
      </c>
    </row>
    <row r="25">
      <c r="A25" s="85"/>
      <c r="B25" s="85"/>
      <c r="C25" s="25" t="s">
        <v>227</v>
      </c>
      <c r="D25" s="25" t="s">
        <v>229</v>
      </c>
      <c r="E25" s="25" t="s">
        <v>99</v>
      </c>
      <c r="F25" s="25" t="s">
        <v>187</v>
      </c>
      <c r="G25" s="64">
        <v>0.75</v>
      </c>
      <c r="H25" s="120">
        <v>0.85</v>
      </c>
      <c r="I25" s="64">
        <v>0.9</v>
      </c>
      <c r="J25" s="64">
        <v>0.95</v>
      </c>
      <c r="K25" s="25" t="s">
        <v>450</v>
      </c>
    </row>
    <row r="26">
      <c r="A26" s="104" t="s">
        <v>510</v>
      </c>
      <c r="B26" s="22" t="s">
        <v>456</v>
      </c>
      <c r="C26" s="25" t="s">
        <v>408</v>
      </c>
      <c r="D26" s="25" t="s">
        <v>411</v>
      </c>
      <c r="E26" s="25" t="s">
        <v>73</v>
      </c>
      <c r="F26" s="25" t="s">
        <v>457</v>
      </c>
      <c r="G26" s="25" t="s">
        <v>458</v>
      </c>
      <c r="H26" s="118" t="s">
        <v>413</v>
      </c>
      <c r="I26" s="25" t="s">
        <v>80</v>
      </c>
      <c r="J26" s="25" t="s">
        <v>459</v>
      </c>
      <c r="K26" s="25" t="s">
        <v>460</v>
      </c>
    </row>
    <row r="27">
      <c r="A27" s="59"/>
      <c r="B27" s="59"/>
      <c r="C27" s="25" t="s">
        <v>238</v>
      </c>
      <c r="D27" s="25" t="s">
        <v>241</v>
      </c>
      <c r="E27" s="25" t="s">
        <v>348</v>
      </c>
      <c r="F27" s="64">
        <v>0.35</v>
      </c>
      <c r="G27" s="64">
        <v>0.38</v>
      </c>
      <c r="H27" s="120">
        <v>0.4</v>
      </c>
      <c r="I27" s="64">
        <v>0.42</v>
      </c>
      <c r="J27" s="64">
        <v>0.45</v>
      </c>
      <c r="K27" s="25" t="s">
        <v>466</v>
      </c>
    </row>
    <row r="28">
      <c r="A28" s="59"/>
      <c r="B28" s="59"/>
      <c r="C28" s="25" t="s">
        <v>231</v>
      </c>
      <c r="D28" s="25" t="s">
        <v>233</v>
      </c>
      <c r="E28" s="25" t="s">
        <v>150</v>
      </c>
      <c r="F28" s="25" t="s">
        <v>187</v>
      </c>
      <c r="G28" s="64">
        <v>0.78</v>
      </c>
      <c r="H28" s="120">
        <v>0.82</v>
      </c>
      <c r="I28" s="64">
        <v>0.86</v>
      </c>
      <c r="J28" s="64">
        <v>0.9</v>
      </c>
      <c r="K28" s="25" t="s">
        <v>470</v>
      </c>
    </row>
    <row r="29">
      <c r="A29" s="85"/>
      <c r="B29" s="85"/>
      <c r="C29" s="25" t="s">
        <v>427</v>
      </c>
      <c r="D29" s="25" t="s">
        <v>429</v>
      </c>
      <c r="E29" s="25" t="s">
        <v>430</v>
      </c>
      <c r="F29" s="25" t="s">
        <v>474</v>
      </c>
      <c r="G29" s="25" t="s">
        <v>475</v>
      </c>
      <c r="H29" s="118" t="s">
        <v>432</v>
      </c>
      <c r="I29" s="25" t="s">
        <v>94</v>
      </c>
      <c r="J29" s="25" t="s">
        <v>476</v>
      </c>
      <c r="K29" s="25" t="s">
        <v>477</v>
      </c>
    </row>
  </sheetData>
  <mergeCells count="14">
    <mergeCell ref="A14:A17"/>
    <mergeCell ref="A18:A21"/>
    <mergeCell ref="A22:A25"/>
    <mergeCell ref="A26:A29"/>
    <mergeCell ref="B18:B21"/>
    <mergeCell ref="B22:B25"/>
    <mergeCell ref="B26:B29"/>
    <mergeCell ref="A2:A5"/>
    <mergeCell ref="B2:B5"/>
    <mergeCell ref="A6:A9"/>
    <mergeCell ref="B6:B9"/>
    <mergeCell ref="A10:A13"/>
    <mergeCell ref="B10:B13"/>
    <mergeCell ref="B14:B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7.75"/>
    <col customWidth="1" min="2" max="2" width="24.88"/>
    <col customWidth="1" min="3" max="3" width="16.63"/>
    <col customWidth="1" min="4" max="4" width="3.88"/>
    <col customWidth="1" min="5" max="5" width="27.0"/>
    <col customWidth="1" min="6" max="6" width="51.38"/>
    <col customWidth="1" min="7" max="7" width="33.13"/>
    <col customWidth="1" min="8" max="8" width="29.63"/>
    <col customWidth="1" min="9" max="9" width="28.5"/>
    <col customWidth="1" min="10" max="10" width="58.0"/>
    <col customWidth="1" min="11" max="11" width="67.63"/>
    <col customWidth="1" min="12" max="12" width="30.88"/>
  </cols>
  <sheetData>
    <row r="1" ht="32.25" customHeight="1">
      <c r="A1" s="232" t="s">
        <v>527</v>
      </c>
      <c r="E1" s="232"/>
      <c r="F1" s="233" t="s">
        <v>528</v>
      </c>
      <c r="G1" s="234"/>
      <c r="H1" s="234"/>
      <c r="I1" s="234"/>
      <c r="J1" s="234"/>
      <c r="K1" s="234"/>
      <c r="L1" s="10"/>
      <c r="M1" s="10"/>
      <c r="N1" s="10"/>
    </row>
    <row r="2">
      <c r="A2" s="235" t="s">
        <v>530</v>
      </c>
      <c r="B2" s="236" t="s">
        <v>531</v>
      </c>
      <c r="C2" s="237" t="s">
        <v>532</v>
      </c>
      <c r="D2" s="238"/>
      <c r="E2" s="237" t="s">
        <v>533</v>
      </c>
      <c r="F2" s="238" t="s">
        <v>534</v>
      </c>
      <c r="G2" s="235" t="s">
        <v>535</v>
      </c>
      <c r="H2" s="236" t="s">
        <v>536</v>
      </c>
      <c r="I2" s="235" t="s">
        <v>537</v>
      </c>
      <c r="J2" s="235" t="s">
        <v>538</v>
      </c>
      <c r="K2" s="235" t="s">
        <v>539</v>
      </c>
      <c r="L2" s="235" t="s">
        <v>540</v>
      </c>
      <c r="M2" s="10"/>
      <c r="N2" s="10"/>
    </row>
    <row r="3">
      <c r="A3" s="240" t="s">
        <v>331</v>
      </c>
      <c r="B3" s="240" t="s">
        <v>546</v>
      </c>
      <c r="C3" s="242" t="s">
        <v>550</v>
      </c>
      <c r="D3" s="244" t="s">
        <v>552</v>
      </c>
      <c r="E3" s="245" t="s">
        <v>555</v>
      </c>
      <c r="F3" s="246" t="s">
        <v>559</v>
      </c>
      <c r="G3" s="247" t="s">
        <v>560</v>
      </c>
      <c r="H3" s="247" t="s">
        <v>561</v>
      </c>
      <c r="I3" s="250" t="s">
        <v>563</v>
      </c>
      <c r="J3" s="247" t="s">
        <v>565</v>
      </c>
      <c r="K3" s="251"/>
      <c r="L3" s="252"/>
      <c r="M3" s="2"/>
      <c r="N3" s="2"/>
    </row>
    <row r="4">
      <c r="A4" s="254"/>
      <c r="B4" s="254"/>
      <c r="C4" s="254"/>
      <c r="D4" s="254"/>
      <c r="E4" s="254"/>
      <c r="F4" s="246" t="s">
        <v>567</v>
      </c>
      <c r="G4" s="247" t="s">
        <v>560</v>
      </c>
      <c r="H4" s="247" t="s">
        <v>569</v>
      </c>
      <c r="I4" s="250" t="s">
        <v>570</v>
      </c>
      <c r="J4" s="261" t="s">
        <v>571</v>
      </c>
      <c r="K4" s="251"/>
      <c r="L4" s="252"/>
      <c r="M4" s="2"/>
      <c r="N4" s="2"/>
    </row>
    <row r="5">
      <c r="A5" s="254"/>
      <c r="B5" s="254"/>
      <c r="C5" s="254"/>
      <c r="D5" s="254"/>
      <c r="E5" s="254"/>
      <c r="F5" s="246" t="s">
        <v>578</v>
      </c>
      <c r="G5" s="247" t="s">
        <v>577</v>
      </c>
      <c r="H5" s="247" t="s">
        <v>561</v>
      </c>
      <c r="I5" s="252"/>
      <c r="J5" s="252"/>
      <c r="K5" s="252"/>
      <c r="L5" s="252"/>
      <c r="M5" s="2"/>
      <c r="N5" s="2"/>
    </row>
    <row r="6">
      <c r="A6" s="254"/>
      <c r="B6" s="254"/>
      <c r="C6" s="254"/>
      <c r="D6" s="263"/>
      <c r="E6" s="263"/>
      <c r="F6" s="246" t="s">
        <v>579</v>
      </c>
      <c r="G6" s="247" t="s">
        <v>577</v>
      </c>
      <c r="H6" s="247" t="s">
        <v>561</v>
      </c>
      <c r="I6" s="252"/>
      <c r="J6" s="252"/>
      <c r="K6" s="252"/>
      <c r="L6" s="252"/>
      <c r="M6" s="2"/>
      <c r="N6" s="2"/>
    </row>
    <row r="7">
      <c r="A7" s="254"/>
      <c r="B7" s="254"/>
      <c r="C7" s="254"/>
      <c r="D7" s="244" t="s">
        <v>581</v>
      </c>
      <c r="E7" s="245" t="s">
        <v>583</v>
      </c>
      <c r="F7" s="246" t="s">
        <v>584</v>
      </c>
      <c r="G7" s="247" t="s">
        <v>585</v>
      </c>
      <c r="H7" s="247" t="s">
        <v>586</v>
      </c>
      <c r="I7" s="252"/>
      <c r="J7" s="252"/>
      <c r="K7" s="252"/>
      <c r="L7" s="252"/>
      <c r="M7" s="2"/>
      <c r="N7" s="2"/>
    </row>
    <row r="8">
      <c r="A8" s="254"/>
      <c r="B8" s="254"/>
      <c r="C8" s="254"/>
      <c r="D8" s="254"/>
      <c r="E8" s="254"/>
      <c r="F8" s="267" t="s">
        <v>589</v>
      </c>
      <c r="G8" s="247" t="s">
        <v>585</v>
      </c>
      <c r="H8" s="247" t="s">
        <v>586</v>
      </c>
      <c r="I8" s="252"/>
      <c r="J8" s="252"/>
      <c r="K8" s="252"/>
      <c r="L8" s="252"/>
      <c r="M8" s="2"/>
      <c r="N8" s="2"/>
    </row>
    <row r="9">
      <c r="A9" s="254"/>
      <c r="B9" s="254"/>
      <c r="C9" s="254"/>
      <c r="D9" s="254"/>
      <c r="E9" s="254"/>
      <c r="F9" s="267" t="s">
        <v>591</v>
      </c>
      <c r="G9" s="247" t="s">
        <v>577</v>
      </c>
      <c r="H9" s="247" t="s">
        <v>586</v>
      </c>
      <c r="I9" s="252"/>
      <c r="J9" s="252"/>
      <c r="K9" s="252"/>
      <c r="L9" s="252"/>
      <c r="M9" s="2"/>
      <c r="N9" s="2"/>
    </row>
    <row r="10">
      <c r="A10" s="254"/>
      <c r="B10" s="254"/>
      <c r="C10" s="254"/>
      <c r="D10" s="254"/>
      <c r="E10" s="254"/>
      <c r="F10" s="246" t="s">
        <v>595</v>
      </c>
      <c r="G10" s="247" t="s">
        <v>577</v>
      </c>
      <c r="H10" s="247" t="s">
        <v>561</v>
      </c>
      <c r="I10" s="252"/>
      <c r="J10" s="252"/>
      <c r="K10" s="252"/>
      <c r="L10" s="252"/>
      <c r="M10" s="2"/>
      <c r="N10" s="2"/>
    </row>
    <row r="11">
      <c r="A11" s="254"/>
      <c r="B11" s="254"/>
      <c r="C11" s="254"/>
      <c r="D11" s="263"/>
      <c r="E11" s="263"/>
      <c r="F11" s="246" t="s">
        <v>598</v>
      </c>
      <c r="G11" s="247" t="s">
        <v>577</v>
      </c>
      <c r="H11" s="247" t="s">
        <v>561</v>
      </c>
      <c r="I11" s="252"/>
      <c r="J11" s="252"/>
      <c r="K11" s="252"/>
      <c r="L11" s="252"/>
      <c r="M11" s="2"/>
      <c r="N11" s="2"/>
    </row>
    <row r="12">
      <c r="A12" s="254"/>
      <c r="B12" s="254"/>
      <c r="C12" s="254"/>
      <c r="D12" s="244" t="s">
        <v>599</v>
      </c>
      <c r="E12" s="245" t="s">
        <v>600</v>
      </c>
      <c r="F12" s="246" t="s">
        <v>602</v>
      </c>
      <c r="G12" s="247" t="s">
        <v>560</v>
      </c>
      <c r="H12" s="247" t="s">
        <v>604</v>
      </c>
      <c r="I12" s="250" t="s">
        <v>563</v>
      </c>
      <c r="J12" s="247" t="s">
        <v>565</v>
      </c>
      <c r="K12" s="251"/>
      <c r="L12" s="252"/>
      <c r="M12" s="2"/>
      <c r="N12" s="2"/>
    </row>
    <row r="13">
      <c r="A13" s="254"/>
      <c r="B13" s="254"/>
      <c r="C13" s="254"/>
      <c r="D13" s="254"/>
      <c r="E13" s="254"/>
      <c r="F13" s="246" t="s">
        <v>605</v>
      </c>
      <c r="G13" s="247" t="s">
        <v>560</v>
      </c>
      <c r="H13" s="247" t="s">
        <v>569</v>
      </c>
      <c r="I13" s="250" t="s">
        <v>570</v>
      </c>
      <c r="J13" s="261" t="s">
        <v>606</v>
      </c>
      <c r="K13" s="251"/>
      <c r="L13" s="252"/>
      <c r="M13" s="2"/>
      <c r="N13" s="2"/>
    </row>
    <row r="14">
      <c r="A14" s="254"/>
      <c r="B14" s="254"/>
      <c r="C14" s="254"/>
      <c r="D14" s="254"/>
      <c r="E14" s="254"/>
      <c r="F14" s="246" t="s">
        <v>609</v>
      </c>
      <c r="G14" s="247" t="s">
        <v>560</v>
      </c>
      <c r="H14" s="247" t="s">
        <v>604</v>
      </c>
      <c r="I14" s="250" t="s">
        <v>570</v>
      </c>
      <c r="J14" s="261" t="s">
        <v>610</v>
      </c>
      <c r="K14" s="251"/>
      <c r="L14" s="252"/>
      <c r="M14" s="2"/>
      <c r="N14" s="2"/>
    </row>
    <row r="15">
      <c r="A15" s="254"/>
      <c r="B15" s="254"/>
      <c r="C15" s="254"/>
      <c r="D15" s="254"/>
      <c r="E15" s="254"/>
      <c r="F15" s="246" t="s">
        <v>614</v>
      </c>
      <c r="G15" s="247" t="s">
        <v>585</v>
      </c>
      <c r="H15" s="247" t="s">
        <v>604</v>
      </c>
      <c r="I15" s="250" t="s">
        <v>570</v>
      </c>
      <c r="J15" s="261" t="s">
        <v>615</v>
      </c>
      <c r="K15" s="252"/>
      <c r="L15" s="252"/>
      <c r="M15" s="2"/>
      <c r="N15" s="2"/>
    </row>
    <row r="16">
      <c r="A16" s="254"/>
      <c r="B16" s="254"/>
      <c r="C16" s="254"/>
      <c r="D16" s="254"/>
      <c r="E16" s="254"/>
      <c r="F16" s="246" t="s">
        <v>616</v>
      </c>
      <c r="G16" s="247" t="s">
        <v>585</v>
      </c>
      <c r="H16" s="247" t="s">
        <v>617</v>
      </c>
      <c r="I16" s="250" t="s">
        <v>570</v>
      </c>
      <c r="J16" s="276" t="s">
        <v>620</v>
      </c>
      <c r="K16" s="250" t="s">
        <v>621</v>
      </c>
      <c r="L16" s="252"/>
      <c r="M16" s="2"/>
      <c r="N16" s="2"/>
    </row>
    <row r="17">
      <c r="A17" s="254"/>
      <c r="B17" s="254"/>
      <c r="C17" s="263"/>
      <c r="D17" s="263"/>
      <c r="E17" s="263"/>
      <c r="F17" s="246" t="s">
        <v>623</v>
      </c>
      <c r="G17" s="247" t="s">
        <v>585</v>
      </c>
      <c r="H17" s="247" t="s">
        <v>617</v>
      </c>
      <c r="I17" s="250" t="s">
        <v>570</v>
      </c>
      <c r="J17" s="278" t="s">
        <v>625</v>
      </c>
      <c r="K17" s="250" t="s">
        <v>627</v>
      </c>
      <c r="L17" s="252"/>
      <c r="M17" s="2"/>
      <c r="N17" s="2"/>
    </row>
    <row r="18">
      <c r="A18" s="254"/>
      <c r="B18" s="254"/>
      <c r="C18" s="242" t="s">
        <v>630</v>
      </c>
      <c r="D18" s="244" t="s">
        <v>552</v>
      </c>
      <c r="E18" s="245" t="s">
        <v>632</v>
      </c>
      <c r="F18" s="246" t="s">
        <v>635</v>
      </c>
      <c r="G18" s="247" t="s">
        <v>560</v>
      </c>
      <c r="H18" s="247" t="s">
        <v>586</v>
      </c>
      <c r="I18" s="250" t="s">
        <v>570</v>
      </c>
      <c r="J18" s="261" t="s">
        <v>637</v>
      </c>
      <c r="K18" s="251"/>
      <c r="L18" s="252"/>
      <c r="M18" s="2"/>
      <c r="N18" s="2"/>
    </row>
    <row r="19">
      <c r="A19" s="254"/>
      <c r="B19" s="254"/>
      <c r="C19" s="254"/>
      <c r="D19" s="254"/>
      <c r="E19" s="254"/>
      <c r="F19" s="246" t="s">
        <v>638</v>
      </c>
      <c r="G19" s="247" t="s">
        <v>560</v>
      </c>
      <c r="H19" s="247" t="s">
        <v>569</v>
      </c>
      <c r="I19" s="250" t="s">
        <v>563</v>
      </c>
      <c r="J19" s="261" t="s">
        <v>639</v>
      </c>
      <c r="K19" s="251"/>
      <c r="L19" s="252"/>
      <c r="M19" s="2"/>
      <c r="N19" s="2"/>
    </row>
    <row r="20">
      <c r="A20" s="254"/>
      <c r="B20" s="254"/>
      <c r="C20" s="254"/>
      <c r="D20" s="254"/>
      <c r="E20" s="254"/>
      <c r="F20" s="246" t="s">
        <v>642</v>
      </c>
      <c r="G20" s="247" t="s">
        <v>643</v>
      </c>
      <c r="H20" s="247" t="s">
        <v>586</v>
      </c>
      <c r="I20" s="252"/>
      <c r="J20" s="252"/>
      <c r="K20" s="252"/>
      <c r="L20" s="252"/>
      <c r="M20" s="2"/>
      <c r="N20" s="2"/>
    </row>
    <row r="21">
      <c r="A21" s="254"/>
      <c r="B21" s="254"/>
      <c r="C21" s="254"/>
      <c r="D21" s="263"/>
      <c r="E21" s="263"/>
      <c r="F21" s="246" t="s">
        <v>644</v>
      </c>
      <c r="G21" s="247" t="s">
        <v>643</v>
      </c>
      <c r="H21" s="247" t="s">
        <v>586</v>
      </c>
      <c r="I21" s="252"/>
      <c r="J21" s="252"/>
      <c r="K21" s="252"/>
      <c r="L21" s="252"/>
      <c r="M21" s="2"/>
      <c r="N21" s="2"/>
    </row>
    <row r="22">
      <c r="A22" s="254"/>
      <c r="B22" s="254"/>
      <c r="C22" s="254"/>
      <c r="D22" s="244" t="s">
        <v>581</v>
      </c>
      <c r="E22" s="245" t="s">
        <v>645</v>
      </c>
      <c r="F22" s="246" t="s">
        <v>646</v>
      </c>
      <c r="G22" s="247" t="s">
        <v>585</v>
      </c>
      <c r="H22" s="247" t="s">
        <v>586</v>
      </c>
      <c r="I22" s="252"/>
      <c r="J22" s="252"/>
      <c r="K22" s="252"/>
      <c r="L22" s="252"/>
      <c r="M22" s="2"/>
      <c r="N22" s="2"/>
    </row>
    <row r="23">
      <c r="A23" s="254"/>
      <c r="B23" s="254"/>
      <c r="C23" s="254"/>
      <c r="D23" s="254"/>
      <c r="E23" s="254"/>
      <c r="F23" s="246" t="s">
        <v>649</v>
      </c>
      <c r="G23" s="247" t="s">
        <v>585</v>
      </c>
      <c r="H23" s="247" t="s">
        <v>604</v>
      </c>
      <c r="I23" s="250" t="s">
        <v>570</v>
      </c>
      <c r="J23" s="286" t="s">
        <v>650</v>
      </c>
      <c r="K23" s="252"/>
      <c r="L23" s="252"/>
      <c r="M23" s="2"/>
      <c r="N23" s="2"/>
    </row>
    <row r="24">
      <c r="A24" s="254"/>
      <c r="B24" s="254"/>
      <c r="C24" s="254"/>
      <c r="D24" s="254"/>
      <c r="E24" s="254"/>
      <c r="F24" s="246" t="s">
        <v>654</v>
      </c>
      <c r="G24" s="247" t="s">
        <v>585</v>
      </c>
      <c r="H24" s="247" t="s">
        <v>604</v>
      </c>
      <c r="I24" s="250" t="s">
        <v>563</v>
      </c>
      <c r="J24" s="252"/>
      <c r="K24" s="252"/>
      <c r="L24" s="252"/>
      <c r="M24" s="2"/>
      <c r="N24" s="2"/>
    </row>
    <row r="25">
      <c r="A25" s="254"/>
      <c r="B25" s="254"/>
      <c r="C25" s="254"/>
      <c r="D25" s="254"/>
      <c r="E25" s="254"/>
      <c r="F25" s="246" t="s">
        <v>657</v>
      </c>
      <c r="G25" s="247" t="s">
        <v>643</v>
      </c>
      <c r="H25" s="247" t="s">
        <v>586</v>
      </c>
      <c r="I25" s="252"/>
      <c r="J25" s="252"/>
      <c r="K25" s="252"/>
      <c r="L25" s="252"/>
      <c r="M25" s="2"/>
      <c r="N25" s="2"/>
    </row>
    <row r="26">
      <c r="A26" s="254"/>
      <c r="B26" s="254"/>
      <c r="C26" s="254"/>
      <c r="D26" s="254"/>
      <c r="E26" s="254"/>
      <c r="F26" s="246" t="s">
        <v>660</v>
      </c>
      <c r="G26" s="247" t="s">
        <v>643</v>
      </c>
      <c r="H26" s="247" t="s">
        <v>586</v>
      </c>
      <c r="I26" s="252"/>
      <c r="J26" s="252"/>
      <c r="K26" s="252"/>
      <c r="L26" s="252"/>
      <c r="M26" s="2"/>
      <c r="N26" s="2"/>
    </row>
    <row r="27">
      <c r="A27" s="254"/>
      <c r="B27" s="254"/>
      <c r="C27" s="254"/>
      <c r="D27" s="263"/>
      <c r="E27" s="263"/>
      <c r="F27" s="246" t="s">
        <v>662</v>
      </c>
      <c r="G27" s="247" t="s">
        <v>643</v>
      </c>
      <c r="H27" s="247" t="s">
        <v>586</v>
      </c>
      <c r="I27" s="252"/>
      <c r="J27" s="252"/>
      <c r="K27" s="252"/>
      <c r="L27" s="252"/>
      <c r="M27" s="2"/>
      <c r="N27" s="2"/>
    </row>
    <row r="28">
      <c r="A28" s="254"/>
      <c r="B28" s="254"/>
      <c r="C28" s="254"/>
      <c r="D28" s="244" t="s">
        <v>599</v>
      </c>
      <c r="E28" s="245" t="s">
        <v>663</v>
      </c>
      <c r="F28" s="246" t="s">
        <v>664</v>
      </c>
      <c r="G28" s="247" t="s">
        <v>560</v>
      </c>
      <c r="H28" s="247" t="s">
        <v>604</v>
      </c>
      <c r="I28" s="250" t="s">
        <v>563</v>
      </c>
      <c r="J28" s="247" t="s">
        <v>667</v>
      </c>
      <c r="K28" s="247" t="s">
        <v>668</v>
      </c>
      <c r="L28" s="252"/>
      <c r="M28" s="2"/>
      <c r="N28" s="2"/>
    </row>
    <row r="29">
      <c r="A29" s="254"/>
      <c r="B29" s="254"/>
      <c r="C29" s="254"/>
      <c r="D29" s="254"/>
      <c r="E29" s="254"/>
      <c r="F29" s="246" t="s">
        <v>671</v>
      </c>
      <c r="G29" s="247" t="s">
        <v>560</v>
      </c>
      <c r="H29" s="247" t="s">
        <v>569</v>
      </c>
      <c r="I29" s="250" t="s">
        <v>570</v>
      </c>
      <c r="J29" s="295" t="s">
        <v>672</v>
      </c>
      <c r="K29" s="251"/>
      <c r="L29" s="252"/>
      <c r="M29" s="2"/>
      <c r="N29" s="2"/>
    </row>
    <row r="30">
      <c r="A30" s="254"/>
      <c r="B30" s="254"/>
      <c r="C30" s="254"/>
      <c r="D30" s="254"/>
      <c r="E30" s="254"/>
      <c r="F30" s="246" t="s">
        <v>676</v>
      </c>
      <c r="G30" s="247" t="s">
        <v>560</v>
      </c>
      <c r="H30" s="247" t="s">
        <v>569</v>
      </c>
      <c r="I30" s="250" t="s">
        <v>570</v>
      </c>
      <c r="J30" s="261" t="s">
        <v>678</v>
      </c>
      <c r="K30" s="251"/>
      <c r="L30" s="252"/>
      <c r="M30" s="2"/>
      <c r="N30" s="2"/>
    </row>
    <row r="31">
      <c r="A31" s="254"/>
      <c r="B31" s="254"/>
      <c r="C31" s="254"/>
      <c r="D31" s="254"/>
      <c r="E31" s="254"/>
      <c r="F31" s="246" t="s">
        <v>681</v>
      </c>
      <c r="G31" s="247" t="s">
        <v>585</v>
      </c>
      <c r="H31" s="247" t="s">
        <v>604</v>
      </c>
      <c r="I31" s="250" t="s">
        <v>570</v>
      </c>
      <c r="J31" s="261" t="s">
        <v>682</v>
      </c>
      <c r="K31" s="252"/>
      <c r="L31" s="252"/>
      <c r="M31" s="2"/>
      <c r="N31" s="2"/>
    </row>
    <row r="32">
      <c r="A32" s="254"/>
      <c r="B32" s="254"/>
      <c r="C32" s="254"/>
      <c r="D32" s="254"/>
      <c r="E32" s="254"/>
      <c r="F32" s="246" t="s">
        <v>685</v>
      </c>
      <c r="G32" s="247" t="s">
        <v>585</v>
      </c>
      <c r="H32" s="247" t="s">
        <v>604</v>
      </c>
      <c r="I32" s="250" t="s">
        <v>570</v>
      </c>
      <c r="J32" s="261" t="s">
        <v>686</v>
      </c>
      <c r="K32" s="252"/>
      <c r="L32" s="252"/>
      <c r="M32" s="2"/>
      <c r="N32" s="2"/>
    </row>
    <row r="33">
      <c r="A33" s="263"/>
      <c r="B33" s="263"/>
      <c r="C33" s="263"/>
      <c r="D33" s="263"/>
      <c r="E33" s="263"/>
      <c r="F33" s="246" t="s">
        <v>691</v>
      </c>
      <c r="G33" s="247" t="s">
        <v>585</v>
      </c>
      <c r="H33" s="247" t="s">
        <v>604</v>
      </c>
      <c r="I33" s="252"/>
      <c r="J33" s="252"/>
      <c r="K33" s="250" t="s">
        <v>693</v>
      </c>
      <c r="L33" s="252"/>
      <c r="M33" s="2"/>
      <c r="N33" s="2"/>
    </row>
    <row r="34" ht="33.75" customHeight="1">
      <c r="A34" s="300" t="s">
        <v>351</v>
      </c>
      <c r="B34" s="300" t="s">
        <v>696</v>
      </c>
      <c r="C34" s="301" t="s">
        <v>698</v>
      </c>
      <c r="D34" s="302" t="s">
        <v>552</v>
      </c>
      <c r="E34" s="245" t="s">
        <v>700</v>
      </c>
      <c r="F34" s="246" t="s">
        <v>701</v>
      </c>
      <c r="G34" s="247" t="s">
        <v>585</v>
      </c>
      <c r="H34" s="247" t="s">
        <v>561</v>
      </c>
      <c r="I34" s="252"/>
      <c r="J34" s="252"/>
      <c r="K34" s="252"/>
      <c r="L34" s="252"/>
      <c r="M34" s="2"/>
      <c r="N34" s="2"/>
    </row>
    <row r="35" ht="33.75" customHeight="1">
      <c r="A35" s="254"/>
      <c r="B35" s="254"/>
      <c r="C35" s="254"/>
      <c r="D35" s="254"/>
      <c r="E35" s="254"/>
      <c r="F35" s="246" t="s">
        <v>707</v>
      </c>
      <c r="G35" s="247" t="s">
        <v>585</v>
      </c>
      <c r="H35" s="247" t="s">
        <v>561</v>
      </c>
      <c r="I35" s="252"/>
      <c r="J35" s="252"/>
      <c r="K35" s="252"/>
      <c r="L35" s="252"/>
      <c r="M35" s="2"/>
      <c r="N35" s="2"/>
    </row>
    <row r="36" ht="33.75" customHeight="1">
      <c r="A36" s="254"/>
      <c r="B36" s="254"/>
      <c r="C36" s="254"/>
      <c r="D36" s="254"/>
      <c r="E36" s="254"/>
      <c r="F36" s="246" t="s">
        <v>709</v>
      </c>
      <c r="G36" s="247" t="s">
        <v>585</v>
      </c>
      <c r="H36" s="247" t="s">
        <v>561</v>
      </c>
      <c r="I36" s="252"/>
      <c r="J36" s="252"/>
      <c r="K36" s="252"/>
      <c r="L36" s="252"/>
      <c r="M36" s="2"/>
      <c r="N36" s="2"/>
    </row>
    <row r="37">
      <c r="A37" s="254"/>
      <c r="B37" s="254"/>
      <c r="C37" s="254"/>
      <c r="D37" s="254"/>
      <c r="E37" s="254"/>
      <c r="F37" s="246" t="s">
        <v>711</v>
      </c>
      <c r="G37" s="247" t="s">
        <v>577</v>
      </c>
      <c r="H37" s="247" t="s">
        <v>561</v>
      </c>
      <c r="I37" s="252"/>
      <c r="J37" s="252"/>
      <c r="K37" s="252"/>
      <c r="L37" s="252"/>
      <c r="M37" s="2"/>
      <c r="N37" s="2"/>
    </row>
    <row r="38">
      <c r="A38" s="254"/>
      <c r="B38" s="254"/>
      <c r="C38" s="254"/>
      <c r="D38" s="254"/>
      <c r="E38" s="254"/>
      <c r="F38" s="246" t="s">
        <v>716</v>
      </c>
      <c r="G38" s="247" t="s">
        <v>577</v>
      </c>
      <c r="H38" s="247" t="s">
        <v>561</v>
      </c>
      <c r="I38" s="252"/>
      <c r="J38" s="252"/>
      <c r="K38" s="252"/>
      <c r="L38" s="252"/>
      <c r="M38" s="2"/>
      <c r="N38" s="2"/>
    </row>
    <row r="39">
      <c r="A39" s="254"/>
      <c r="B39" s="254"/>
      <c r="C39" s="254"/>
      <c r="D39" s="263"/>
      <c r="E39" s="263"/>
      <c r="F39" s="246" t="s">
        <v>719</v>
      </c>
      <c r="G39" s="247" t="s">
        <v>577</v>
      </c>
      <c r="H39" s="247" t="s">
        <v>561</v>
      </c>
      <c r="I39" s="252"/>
      <c r="J39" s="252"/>
      <c r="K39" s="252"/>
      <c r="L39" s="252"/>
      <c r="M39" s="2"/>
      <c r="N39" s="2"/>
    </row>
    <row r="40">
      <c r="A40" s="254"/>
      <c r="B40" s="254"/>
      <c r="C40" s="254"/>
      <c r="D40" s="302" t="s">
        <v>581</v>
      </c>
      <c r="E40" s="245" t="s">
        <v>721</v>
      </c>
      <c r="F40" s="246" t="s">
        <v>722</v>
      </c>
      <c r="G40" s="247" t="s">
        <v>560</v>
      </c>
      <c r="H40" s="247" t="s">
        <v>561</v>
      </c>
      <c r="I40" s="250" t="s">
        <v>563</v>
      </c>
      <c r="J40" s="247" t="s">
        <v>565</v>
      </c>
      <c r="K40" s="247" t="s">
        <v>724</v>
      </c>
      <c r="L40" s="252"/>
      <c r="M40" s="2"/>
      <c r="N40" s="2"/>
    </row>
    <row r="41">
      <c r="A41" s="254"/>
      <c r="B41" s="254"/>
      <c r="C41" s="254"/>
      <c r="D41" s="254"/>
      <c r="E41" s="254"/>
      <c r="F41" s="246" t="s">
        <v>725</v>
      </c>
      <c r="G41" s="247" t="s">
        <v>560</v>
      </c>
      <c r="H41" s="247" t="s">
        <v>561</v>
      </c>
      <c r="I41" s="250" t="s">
        <v>563</v>
      </c>
      <c r="J41" s="247" t="s">
        <v>565</v>
      </c>
      <c r="K41" s="247" t="s">
        <v>724</v>
      </c>
      <c r="L41" s="252"/>
      <c r="M41" s="2"/>
      <c r="N41" s="2"/>
    </row>
    <row r="42">
      <c r="A42" s="254"/>
      <c r="B42" s="254"/>
      <c r="C42" s="254"/>
      <c r="D42" s="254"/>
      <c r="E42" s="254"/>
      <c r="F42" s="246" t="s">
        <v>730</v>
      </c>
      <c r="G42" s="247" t="s">
        <v>560</v>
      </c>
      <c r="H42" s="247" t="s">
        <v>561</v>
      </c>
      <c r="I42" s="250" t="s">
        <v>563</v>
      </c>
      <c r="J42" s="247" t="s">
        <v>565</v>
      </c>
      <c r="K42" s="247" t="s">
        <v>724</v>
      </c>
      <c r="L42" s="252"/>
      <c r="M42" s="2"/>
      <c r="N42" s="2"/>
    </row>
    <row r="43">
      <c r="A43" s="254"/>
      <c r="B43" s="254"/>
      <c r="C43" s="254"/>
      <c r="D43" s="254"/>
      <c r="E43" s="254"/>
      <c r="F43" s="246" t="s">
        <v>734</v>
      </c>
      <c r="G43" s="247" t="s">
        <v>577</v>
      </c>
      <c r="H43" s="247" t="s">
        <v>561</v>
      </c>
      <c r="I43" s="252"/>
      <c r="J43" s="252"/>
      <c r="K43" s="252"/>
      <c r="L43" s="252"/>
      <c r="M43" s="2"/>
      <c r="N43" s="2"/>
    </row>
    <row r="44">
      <c r="A44" s="254"/>
      <c r="B44" s="254"/>
      <c r="C44" s="254"/>
      <c r="D44" s="254"/>
      <c r="E44" s="254"/>
      <c r="F44" s="246" t="s">
        <v>737</v>
      </c>
      <c r="G44" s="247" t="s">
        <v>577</v>
      </c>
      <c r="H44" s="247" t="s">
        <v>561</v>
      </c>
      <c r="I44" s="252"/>
      <c r="J44" s="252"/>
      <c r="K44" s="252"/>
      <c r="L44" s="252"/>
      <c r="M44" s="2"/>
      <c r="N44" s="2"/>
    </row>
    <row r="45">
      <c r="A45" s="254"/>
      <c r="B45" s="254"/>
      <c r="C45" s="254"/>
      <c r="D45" s="263"/>
      <c r="E45" s="263"/>
      <c r="F45" s="246" t="s">
        <v>738</v>
      </c>
      <c r="G45" s="247" t="s">
        <v>577</v>
      </c>
      <c r="H45" s="247" t="s">
        <v>561</v>
      </c>
      <c r="I45" s="252"/>
      <c r="J45" s="252"/>
      <c r="K45" s="252"/>
      <c r="L45" s="252"/>
      <c r="M45" s="2"/>
      <c r="N45" s="2"/>
    </row>
    <row r="46">
      <c r="A46" s="254"/>
      <c r="B46" s="254"/>
      <c r="C46" s="254"/>
      <c r="D46" s="302" t="s">
        <v>599</v>
      </c>
      <c r="E46" s="245" t="s">
        <v>742</v>
      </c>
      <c r="F46" s="246" t="s">
        <v>745</v>
      </c>
      <c r="G46" s="247" t="s">
        <v>577</v>
      </c>
      <c r="H46" s="247" t="s">
        <v>561</v>
      </c>
      <c r="I46" s="252"/>
      <c r="J46" s="252"/>
      <c r="K46" s="252"/>
      <c r="L46" s="252"/>
      <c r="M46" s="2"/>
      <c r="N46" s="2"/>
    </row>
    <row r="47">
      <c r="A47" s="254"/>
      <c r="B47" s="254"/>
      <c r="C47" s="254"/>
      <c r="D47" s="254"/>
      <c r="E47" s="254"/>
      <c r="F47" s="246" t="s">
        <v>748</v>
      </c>
      <c r="G47" s="247" t="s">
        <v>577</v>
      </c>
      <c r="H47" s="247" t="s">
        <v>561</v>
      </c>
      <c r="I47" s="252"/>
      <c r="J47" s="252"/>
      <c r="K47" s="252"/>
      <c r="L47" s="252"/>
      <c r="M47" s="2"/>
      <c r="N47" s="2"/>
    </row>
    <row r="48">
      <c r="A48" s="254"/>
      <c r="B48" s="254"/>
      <c r="C48" s="254"/>
      <c r="D48" s="254"/>
      <c r="E48" s="254"/>
      <c r="F48" s="246" t="s">
        <v>749</v>
      </c>
      <c r="G48" s="247" t="s">
        <v>577</v>
      </c>
      <c r="H48" s="247" t="s">
        <v>561</v>
      </c>
      <c r="I48" s="252"/>
      <c r="J48" s="252"/>
      <c r="K48" s="252"/>
      <c r="L48" s="252"/>
      <c r="M48" s="2"/>
      <c r="N48" s="2"/>
    </row>
    <row r="49">
      <c r="A49" s="254"/>
      <c r="B49" s="254"/>
      <c r="C49" s="254"/>
      <c r="D49" s="254"/>
      <c r="E49" s="254"/>
      <c r="F49" s="246" t="s">
        <v>752</v>
      </c>
      <c r="G49" s="247" t="s">
        <v>643</v>
      </c>
      <c r="H49" s="247" t="s">
        <v>561</v>
      </c>
      <c r="I49" s="252"/>
      <c r="J49" s="252"/>
      <c r="K49" s="252"/>
      <c r="L49" s="252"/>
      <c r="M49" s="2"/>
      <c r="N49" s="2"/>
    </row>
    <row r="50">
      <c r="A50" s="254"/>
      <c r="B50" s="254"/>
      <c r="C50" s="254"/>
      <c r="D50" s="254"/>
      <c r="E50" s="254"/>
      <c r="F50" s="246" t="s">
        <v>757</v>
      </c>
      <c r="G50" s="247" t="s">
        <v>643</v>
      </c>
      <c r="H50" s="247" t="s">
        <v>561</v>
      </c>
      <c r="I50" s="252"/>
      <c r="J50" s="252"/>
      <c r="K50" s="252"/>
      <c r="L50" s="252"/>
      <c r="M50" s="2"/>
      <c r="N50" s="2"/>
    </row>
    <row r="51">
      <c r="A51" s="263"/>
      <c r="B51" s="263"/>
      <c r="C51" s="263"/>
      <c r="D51" s="263"/>
      <c r="E51" s="263"/>
      <c r="F51" s="246" t="s">
        <v>760</v>
      </c>
      <c r="G51" s="247" t="s">
        <v>643</v>
      </c>
      <c r="H51" s="247" t="s">
        <v>561</v>
      </c>
      <c r="I51" s="252"/>
      <c r="J51" s="252"/>
      <c r="K51" s="252"/>
      <c r="L51" s="252"/>
      <c r="M51" s="2"/>
      <c r="N51" s="2"/>
    </row>
    <row r="52" ht="17.25" customHeight="1">
      <c r="A52" s="307" t="s">
        <v>761</v>
      </c>
      <c r="B52" s="309" t="s">
        <v>762</v>
      </c>
      <c r="C52" s="309" t="s">
        <v>764</v>
      </c>
      <c r="D52" s="311" t="s">
        <v>552</v>
      </c>
      <c r="E52" s="245" t="s">
        <v>765</v>
      </c>
      <c r="F52" s="246" t="s">
        <v>766</v>
      </c>
      <c r="G52" s="247" t="s">
        <v>560</v>
      </c>
      <c r="H52" s="247" t="s">
        <v>569</v>
      </c>
      <c r="I52" s="250" t="s">
        <v>570</v>
      </c>
      <c r="J52" s="261" t="s">
        <v>775</v>
      </c>
      <c r="K52" s="251"/>
      <c r="L52" s="252"/>
      <c r="M52" s="2"/>
      <c r="N52" s="2"/>
    </row>
    <row r="53">
      <c r="A53" s="254"/>
      <c r="B53" s="254"/>
      <c r="C53" s="254"/>
      <c r="D53" s="254"/>
      <c r="E53" s="254"/>
      <c r="F53" s="246" t="s">
        <v>778</v>
      </c>
      <c r="G53" s="247" t="s">
        <v>560</v>
      </c>
      <c r="H53" s="247" t="s">
        <v>569</v>
      </c>
      <c r="I53" s="250" t="s">
        <v>563</v>
      </c>
      <c r="J53" s="247" t="s">
        <v>781</v>
      </c>
      <c r="K53" s="247" t="s">
        <v>784</v>
      </c>
      <c r="L53" s="250" t="s">
        <v>786</v>
      </c>
      <c r="M53" s="2"/>
      <c r="N53" s="2"/>
    </row>
    <row r="54">
      <c r="A54" s="254"/>
      <c r="B54" s="254"/>
      <c r="C54" s="254"/>
      <c r="D54" s="254"/>
      <c r="E54" s="254"/>
      <c r="F54" s="246" t="s">
        <v>787</v>
      </c>
      <c r="G54" s="316" t="s">
        <v>788</v>
      </c>
      <c r="H54" s="247" t="s">
        <v>569</v>
      </c>
      <c r="I54" s="250" t="s">
        <v>563</v>
      </c>
      <c r="J54" s="252"/>
      <c r="K54" s="250" t="s">
        <v>789</v>
      </c>
      <c r="L54" s="250"/>
      <c r="M54" s="2"/>
      <c r="N54" s="2"/>
    </row>
    <row r="55">
      <c r="A55" s="254"/>
      <c r="B55" s="254"/>
      <c r="C55" s="254"/>
      <c r="D55" s="263"/>
      <c r="E55" s="263"/>
      <c r="F55" s="246" t="s">
        <v>792</v>
      </c>
      <c r="G55" s="317" t="s">
        <v>788</v>
      </c>
      <c r="H55" s="247" t="s">
        <v>569</v>
      </c>
      <c r="I55" s="250" t="s">
        <v>563</v>
      </c>
      <c r="J55" s="318"/>
      <c r="K55" s="250"/>
      <c r="L55" s="250"/>
      <c r="M55" s="2"/>
      <c r="N55" s="2"/>
    </row>
    <row r="56">
      <c r="A56" s="254"/>
      <c r="B56" s="254"/>
      <c r="C56" s="254"/>
      <c r="D56" s="311" t="s">
        <v>581</v>
      </c>
      <c r="E56" s="245" t="s">
        <v>793</v>
      </c>
      <c r="F56" s="246" t="s">
        <v>794</v>
      </c>
      <c r="G56" s="247" t="s">
        <v>560</v>
      </c>
      <c r="H56" s="247" t="s">
        <v>569</v>
      </c>
      <c r="I56" s="250" t="s">
        <v>570</v>
      </c>
      <c r="J56" s="261" t="s">
        <v>796</v>
      </c>
      <c r="K56" s="251"/>
      <c r="L56" s="252"/>
      <c r="M56" s="2"/>
      <c r="N56" s="2"/>
    </row>
    <row r="57">
      <c r="A57" s="254"/>
      <c r="B57" s="254"/>
      <c r="C57" s="254"/>
      <c r="D57" s="254"/>
      <c r="E57" s="254"/>
      <c r="F57" s="246" t="s">
        <v>801</v>
      </c>
      <c r="G57" s="247" t="s">
        <v>560</v>
      </c>
      <c r="H57" s="247" t="s">
        <v>569</v>
      </c>
      <c r="I57" s="250" t="s">
        <v>570</v>
      </c>
      <c r="J57" s="261" t="s">
        <v>804</v>
      </c>
      <c r="K57" s="321"/>
      <c r="L57" s="252"/>
      <c r="M57" s="2"/>
      <c r="N57" s="2"/>
    </row>
    <row r="58">
      <c r="A58" s="254"/>
      <c r="B58" s="254"/>
      <c r="C58" s="254"/>
      <c r="D58" s="254"/>
      <c r="E58" s="254"/>
      <c r="F58" s="246" t="s">
        <v>807</v>
      </c>
      <c r="G58" s="247" t="s">
        <v>560</v>
      </c>
      <c r="H58" s="247" t="s">
        <v>569</v>
      </c>
      <c r="I58" s="250" t="s">
        <v>570</v>
      </c>
      <c r="J58" s="261" t="s">
        <v>808</v>
      </c>
      <c r="K58" s="251"/>
      <c r="L58" s="252"/>
      <c r="M58" s="2"/>
      <c r="N58" s="2"/>
    </row>
    <row r="59">
      <c r="A59" s="254"/>
      <c r="B59" s="254"/>
      <c r="C59" s="254"/>
      <c r="D59" s="254"/>
      <c r="E59" s="254"/>
      <c r="F59" s="246" t="s">
        <v>810</v>
      </c>
      <c r="G59" s="247" t="s">
        <v>577</v>
      </c>
      <c r="H59" s="247" t="s">
        <v>569</v>
      </c>
      <c r="I59" s="250" t="s">
        <v>563</v>
      </c>
      <c r="J59" s="251"/>
      <c r="K59" s="250" t="s">
        <v>813</v>
      </c>
      <c r="L59" s="252"/>
      <c r="M59" s="2"/>
      <c r="N59" s="2"/>
    </row>
    <row r="60" ht="57.0" customHeight="1">
      <c r="A60" s="254"/>
      <c r="B60" s="254"/>
      <c r="C60" s="254"/>
      <c r="D60" s="254"/>
      <c r="E60" s="254"/>
      <c r="F60" s="246" t="s">
        <v>814</v>
      </c>
      <c r="G60" s="247" t="s">
        <v>577</v>
      </c>
      <c r="H60" s="247" t="s">
        <v>569</v>
      </c>
      <c r="I60" s="250" t="s">
        <v>563</v>
      </c>
      <c r="J60" s="261" t="s">
        <v>815</v>
      </c>
      <c r="K60" s="252"/>
      <c r="L60" s="252"/>
      <c r="M60" s="2"/>
      <c r="N60" s="2"/>
    </row>
    <row r="61" ht="20.25" customHeight="1">
      <c r="A61" s="254"/>
      <c r="B61" s="254"/>
      <c r="C61" s="254"/>
      <c r="D61" s="263"/>
      <c r="E61" s="263"/>
      <c r="F61" s="246" t="s">
        <v>822</v>
      </c>
      <c r="G61" s="247" t="s">
        <v>577</v>
      </c>
      <c r="H61" s="247" t="s">
        <v>569</v>
      </c>
      <c r="I61" s="250" t="s">
        <v>563</v>
      </c>
      <c r="J61" s="321"/>
      <c r="K61" s="250" t="s">
        <v>813</v>
      </c>
      <c r="L61" s="252"/>
      <c r="M61" s="2"/>
      <c r="N61" s="2"/>
    </row>
    <row r="62" ht="53.25" customHeight="1">
      <c r="A62" s="254"/>
      <c r="B62" s="254"/>
      <c r="C62" s="254"/>
      <c r="D62" s="311" t="s">
        <v>599</v>
      </c>
      <c r="E62" s="245" t="s">
        <v>825</v>
      </c>
      <c r="F62" s="246" t="s">
        <v>826</v>
      </c>
      <c r="G62" s="317" t="s">
        <v>788</v>
      </c>
      <c r="H62" s="247" t="s">
        <v>569</v>
      </c>
      <c r="I62" s="250" t="s">
        <v>570</v>
      </c>
      <c r="J62" s="261" t="s">
        <v>827</v>
      </c>
      <c r="K62" s="252"/>
      <c r="L62" s="250" t="s">
        <v>829</v>
      </c>
      <c r="M62" s="2"/>
      <c r="N62" s="2"/>
    </row>
    <row r="63" ht="45.0" customHeight="1">
      <c r="A63" s="254"/>
      <c r="B63" s="254"/>
      <c r="C63" s="254"/>
      <c r="D63" s="254"/>
      <c r="E63" s="254"/>
      <c r="F63" s="246" t="s">
        <v>830</v>
      </c>
      <c r="G63" s="317" t="s">
        <v>788</v>
      </c>
      <c r="H63" s="247" t="s">
        <v>569</v>
      </c>
      <c r="I63" s="250" t="s">
        <v>570</v>
      </c>
      <c r="J63" s="261" t="s">
        <v>833</v>
      </c>
      <c r="K63" s="252"/>
      <c r="L63" s="250"/>
      <c r="M63" s="2"/>
      <c r="N63" s="2"/>
    </row>
    <row r="64">
      <c r="A64" s="254"/>
      <c r="B64" s="254"/>
      <c r="C64" s="254"/>
      <c r="D64" s="254"/>
      <c r="E64" s="254"/>
      <c r="F64" s="246" t="s">
        <v>836</v>
      </c>
      <c r="G64" s="317" t="s">
        <v>788</v>
      </c>
      <c r="H64" s="247" t="s">
        <v>569</v>
      </c>
      <c r="I64" s="250" t="s">
        <v>570</v>
      </c>
      <c r="J64" s="247" t="s">
        <v>837</v>
      </c>
      <c r="K64" s="250" t="s">
        <v>813</v>
      </c>
      <c r="L64" s="250" t="s">
        <v>838</v>
      </c>
      <c r="M64" s="2"/>
      <c r="N64" s="2"/>
    </row>
    <row r="65">
      <c r="A65" s="254"/>
      <c r="B65" s="254"/>
      <c r="C65" s="254"/>
      <c r="D65" s="254"/>
      <c r="E65" s="254"/>
      <c r="F65" s="246" t="s">
        <v>840</v>
      </c>
      <c r="G65" s="247" t="s">
        <v>643</v>
      </c>
      <c r="H65" s="247" t="s">
        <v>569</v>
      </c>
      <c r="I65" s="250" t="s">
        <v>570</v>
      </c>
      <c r="J65" s="261" t="s">
        <v>841</v>
      </c>
      <c r="K65" s="250" t="s">
        <v>829</v>
      </c>
      <c r="L65" s="252"/>
      <c r="M65" s="2"/>
      <c r="N65" s="2"/>
    </row>
    <row r="66">
      <c r="A66" s="254"/>
      <c r="B66" s="254"/>
      <c r="C66" s="254"/>
      <c r="D66" s="254"/>
      <c r="E66" s="254"/>
      <c r="F66" s="246" t="s">
        <v>844</v>
      </c>
      <c r="G66" s="247" t="s">
        <v>643</v>
      </c>
      <c r="H66" s="247" t="s">
        <v>569</v>
      </c>
      <c r="I66" s="250" t="s">
        <v>563</v>
      </c>
      <c r="J66" s="251"/>
      <c r="K66" s="250" t="s">
        <v>829</v>
      </c>
      <c r="L66" s="252"/>
      <c r="M66" s="2"/>
      <c r="N66" s="2"/>
    </row>
    <row r="67">
      <c r="A67" s="263"/>
      <c r="B67" s="263"/>
      <c r="C67" s="263"/>
      <c r="D67" s="263"/>
      <c r="E67" s="263"/>
      <c r="F67" s="246" t="s">
        <v>847</v>
      </c>
      <c r="G67" s="247" t="s">
        <v>643</v>
      </c>
      <c r="H67" s="247" t="s">
        <v>569</v>
      </c>
      <c r="I67" s="250" t="s">
        <v>563</v>
      </c>
      <c r="J67" s="327" t="s">
        <v>849</v>
      </c>
      <c r="K67" s="252"/>
      <c r="L67" s="252"/>
      <c r="M67" s="2"/>
      <c r="N67" s="2"/>
    </row>
    <row r="68">
      <c r="A68" s="328" t="s">
        <v>387</v>
      </c>
      <c r="B68" s="328" t="s">
        <v>851</v>
      </c>
      <c r="C68" s="328" t="s">
        <v>853</v>
      </c>
      <c r="D68" s="331" t="s">
        <v>552</v>
      </c>
      <c r="E68" s="245" t="s">
        <v>856</v>
      </c>
      <c r="F68" s="246" t="s">
        <v>858</v>
      </c>
      <c r="G68" s="247" t="s">
        <v>560</v>
      </c>
      <c r="H68" s="247" t="s">
        <v>859</v>
      </c>
      <c r="I68" s="250" t="s">
        <v>563</v>
      </c>
      <c r="J68" s="251"/>
      <c r="K68" s="247" t="s">
        <v>862</v>
      </c>
      <c r="L68" s="252"/>
      <c r="M68" s="2"/>
      <c r="N68" s="2"/>
    </row>
    <row r="69" ht="19.5" customHeight="1">
      <c r="A69" s="254"/>
      <c r="B69" s="254"/>
      <c r="C69" s="254"/>
      <c r="D69" s="263"/>
      <c r="E69" s="263"/>
      <c r="F69" s="246" t="s">
        <v>863</v>
      </c>
      <c r="G69" s="247" t="s">
        <v>577</v>
      </c>
      <c r="H69" s="247" t="s">
        <v>859</v>
      </c>
      <c r="I69" s="250" t="s">
        <v>563</v>
      </c>
      <c r="J69" s="252"/>
      <c r="K69" s="252"/>
      <c r="L69" s="252"/>
      <c r="M69" s="2"/>
      <c r="N69" s="2"/>
    </row>
    <row r="70">
      <c r="A70" s="254"/>
      <c r="B70" s="254"/>
      <c r="C70" s="254"/>
      <c r="D70" s="331" t="s">
        <v>581</v>
      </c>
      <c r="E70" s="245" t="s">
        <v>865</v>
      </c>
      <c r="F70" s="246" t="s">
        <v>866</v>
      </c>
      <c r="G70" s="247" t="s">
        <v>560</v>
      </c>
      <c r="H70" s="247" t="s">
        <v>868</v>
      </c>
      <c r="I70" s="250" t="s">
        <v>570</v>
      </c>
      <c r="J70" s="251"/>
      <c r="K70" s="247" t="s">
        <v>862</v>
      </c>
      <c r="L70" s="252"/>
      <c r="M70" s="2"/>
      <c r="N70" s="2"/>
    </row>
    <row r="71">
      <c r="A71" s="254"/>
      <c r="B71" s="254"/>
      <c r="C71" s="254"/>
      <c r="D71" s="254"/>
      <c r="E71" s="254"/>
      <c r="F71" s="246" t="s">
        <v>870</v>
      </c>
      <c r="G71" s="247" t="s">
        <v>560</v>
      </c>
      <c r="H71" s="247" t="s">
        <v>868</v>
      </c>
      <c r="I71" s="250" t="s">
        <v>570</v>
      </c>
      <c r="J71" s="251"/>
      <c r="K71" s="247" t="s">
        <v>862</v>
      </c>
      <c r="L71" s="252"/>
      <c r="M71" s="2"/>
      <c r="N71" s="2"/>
    </row>
    <row r="72">
      <c r="A72" s="254"/>
      <c r="B72" s="254"/>
      <c r="C72" s="254"/>
      <c r="D72" s="254"/>
      <c r="E72" s="254"/>
      <c r="F72" s="246" t="s">
        <v>874</v>
      </c>
      <c r="G72" s="247" t="s">
        <v>560</v>
      </c>
      <c r="H72" s="247" t="s">
        <v>868</v>
      </c>
      <c r="I72" s="250" t="s">
        <v>570</v>
      </c>
      <c r="J72" s="251"/>
      <c r="K72" s="247" t="s">
        <v>862</v>
      </c>
      <c r="L72" s="252"/>
      <c r="M72" s="2"/>
      <c r="N72" s="2"/>
    </row>
    <row r="73">
      <c r="A73" s="254"/>
      <c r="B73" s="254"/>
      <c r="C73" s="254"/>
      <c r="D73" s="254"/>
      <c r="E73" s="254"/>
      <c r="F73" s="246" t="s">
        <v>876</v>
      </c>
      <c r="G73" s="250" t="s">
        <v>788</v>
      </c>
      <c r="H73" s="250" t="s">
        <v>877</v>
      </c>
      <c r="I73" s="250" t="s">
        <v>563</v>
      </c>
      <c r="J73" s="252"/>
      <c r="K73" s="252"/>
      <c r="L73" s="250" t="s">
        <v>838</v>
      </c>
      <c r="M73" s="2"/>
      <c r="N73" s="2"/>
    </row>
    <row r="74">
      <c r="A74" s="254"/>
      <c r="B74" s="254"/>
      <c r="C74" s="254"/>
      <c r="D74" s="254"/>
      <c r="E74" s="254"/>
      <c r="F74" s="246" t="s">
        <v>879</v>
      </c>
      <c r="G74" s="250" t="s">
        <v>788</v>
      </c>
      <c r="H74" s="250" t="s">
        <v>877</v>
      </c>
      <c r="I74" s="250" t="s">
        <v>570</v>
      </c>
      <c r="J74" s="252"/>
      <c r="K74" s="252"/>
      <c r="L74" s="252"/>
      <c r="M74" s="2"/>
      <c r="N74" s="2"/>
    </row>
    <row r="75">
      <c r="A75" s="254"/>
      <c r="B75" s="254"/>
      <c r="C75" s="254"/>
      <c r="D75" s="263"/>
      <c r="E75" s="263"/>
      <c r="F75" s="246" t="s">
        <v>884</v>
      </c>
      <c r="G75" s="250" t="s">
        <v>788</v>
      </c>
      <c r="H75" s="250" t="s">
        <v>877</v>
      </c>
      <c r="I75" s="250" t="s">
        <v>563</v>
      </c>
      <c r="J75" s="252"/>
      <c r="K75" s="252"/>
      <c r="L75" s="250" t="s">
        <v>838</v>
      </c>
      <c r="M75" s="2"/>
      <c r="N75" s="2"/>
    </row>
    <row r="76">
      <c r="A76" s="254"/>
      <c r="B76" s="254"/>
      <c r="C76" s="254"/>
      <c r="D76" s="331" t="s">
        <v>599</v>
      </c>
      <c r="E76" s="245" t="s">
        <v>886</v>
      </c>
      <c r="F76" s="246" t="s">
        <v>887</v>
      </c>
      <c r="G76" s="247" t="s">
        <v>577</v>
      </c>
      <c r="H76" s="247" t="s">
        <v>888</v>
      </c>
      <c r="I76" s="252"/>
      <c r="J76" s="252"/>
      <c r="K76" s="252"/>
      <c r="L76" s="252"/>
      <c r="M76" s="2"/>
      <c r="N76" s="2"/>
    </row>
    <row r="77">
      <c r="A77" s="254"/>
      <c r="B77" s="254"/>
      <c r="C77" s="254"/>
      <c r="D77" s="254"/>
      <c r="E77" s="254"/>
      <c r="F77" s="246" t="s">
        <v>889</v>
      </c>
      <c r="G77" s="247" t="s">
        <v>577</v>
      </c>
      <c r="H77" s="247" t="s">
        <v>859</v>
      </c>
      <c r="I77" s="250" t="s">
        <v>563</v>
      </c>
      <c r="J77" s="252"/>
      <c r="K77" s="252"/>
      <c r="L77" s="252"/>
      <c r="M77" s="2"/>
      <c r="N77" s="2"/>
    </row>
    <row r="78">
      <c r="A78" s="254"/>
      <c r="B78" s="254"/>
      <c r="C78" s="254"/>
      <c r="D78" s="254"/>
      <c r="E78" s="254"/>
      <c r="F78" s="246" t="s">
        <v>891</v>
      </c>
      <c r="G78" s="247" t="s">
        <v>577</v>
      </c>
      <c r="H78" s="247" t="s">
        <v>888</v>
      </c>
      <c r="I78" s="252"/>
      <c r="J78" s="252"/>
      <c r="K78" s="252"/>
      <c r="L78" s="252"/>
      <c r="M78" s="2"/>
      <c r="N78" s="2"/>
    </row>
    <row r="79">
      <c r="A79" s="254"/>
      <c r="B79" s="254"/>
      <c r="C79" s="254"/>
      <c r="D79" s="254"/>
      <c r="E79" s="254"/>
      <c r="F79" s="246" t="s">
        <v>896</v>
      </c>
      <c r="G79" s="247" t="s">
        <v>643</v>
      </c>
      <c r="H79" s="247" t="s">
        <v>561</v>
      </c>
      <c r="I79" s="252"/>
      <c r="J79" s="250" t="s">
        <v>899</v>
      </c>
      <c r="K79" s="252"/>
      <c r="L79" s="252"/>
      <c r="M79" s="2"/>
      <c r="N79" s="2"/>
    </row>
    <row r="80">
      <c r="A80" s="254"/>
      <c r="B80" s="254"/>
      <c r="C80" s="254"/>
      <c r="D80" s="254"/>
      <c r="E80" s="254"/>
      <c r="F80" s="246" t="s">
        <v>900</v>
      </c>
      <c r="G80" s="247" t="s">
        <v>643</v>
      </c>
      <c r="H80" s="247" t="s">
        <v>561</v>
      </c>
      <c r="I80" s="252"/>
      <c r="J80" s="250" t="s">
        <v>899</v>
      </c>
      <c r="K80" s="252"/>
      <c r="L80" s="252"/>
      <c r="M80" s="2"/>
      <c r="N80" s="2"/>
    </row>
    <row r="81">
      <c r="A81" s="263"/>
      <c r="B81" s="263"/>
      <c r="C81" s="263"/>
      <c r="D81" s="263"/>
      <c r="E81" s="263"/>
      <c r="F81" s="246" t="s">
        <v>903</v>
      </c>
      <c r="G81" s="247" t="s">
        <v>643</v>
      </c>
      <c r="H81" s="247" t="s">
        <v>859</v>
      </c>
      <c r="I81" s="250" t="s">
        <v>563</v>
      </c>
      <c r="J81" s="252"/>
      <c r="K81" s="252"/>
      <c r="L81" s="252"/>
      <c r="M81" s="2"/>
      <c r="N81" s="2"/>
    </row>
    <row r="82">
      <c r="A82" s="334" t="s">
        <v>906</v>
      </c>
      <c r="B82" s="334" t="s">
        <v>908</v>
      </c>
      <c r="C82" s="334" t="s">
        <v>910</v>
      </c>
      <c r="D82" s="335" t="s">
        <v>552</v>
      </c>
      <c r="E82" s="245" t="s">
        <v>914</v>
      </c>
      <c r="F82" s="246" t="s">
        <v>915</v>
      </c>
      <c r="G82" s="247" t="s">
        <v>585</v>
      </c>
      <c r="H82" s="247" t="s">
        <v>617</v>
      </c>
      <c r="I82" s="250" t="s">
        <v>563</v>
      </c>
      <c r="J82" s="252"/>
      <c r="K82" s="252"/>
      <c r="L82" s="252"/>
      <c r="M82" s="2"/>
      <c r="N82" s="2"/>
    </row>
    <row r="83">
      <c r="A83" s="254"/>
      <c r="B83" s="254"/>
      <c r="C83" s="254"/>
      <c r="D83" s="254"/>
      <c r="E83" s="254"/>
      <c r="F83" s="246" t="s">
        <v>920</v>
      </c>
      <c r="G83" s="247" t="s">
        <v>585</v>
      </c>
      <c r="H83" s="247" t="s">
        <v>617</v>
      </c>
      <c r="I83" s="250" t="s">
        <v>563</v>
      </c>
      <c r="J83" s="252"/>
      <c r="K83" s="252"/>
      <c r="L83" s="252"/>
      <c r="M83" s="2"/>
      <c r="N83" s="2"/>
    </row>
    <row r="84">
      <c r="A84" s="254"/>
      <c r="B84" s="254"/>
      <c r="C84" s="254"/>
      <c r="D84" s="254"/>
      <c r="E84" s="254"/>
      <c r="F84" s="246" t="s">
        <v>923</v>
      </c>
      <c r="G84" s="247" t="s">
        <v>585</v>
      </c>
      <c r="H84" s="247" t="s">
        <v>617</v>
      </c>
      <c r="I84" s="250" t="s">
        <v>563</v>
      </c>
      <c r="J84" s="252"/>
      <c r="K84" s="252"/>
      <c r="L84" s="252"/>
      <c r="M84" s="2"/>
      <c r="N84" s="2"/>
    </row>
    <row r="85">
      <c r="A85" s="254"/>
      <c r="B85" s="254"/>
      <c r="C85" s="254"/>
      <c r="D85" s="254"/>
      <c r="E85" s="254"/>
      <c r="F85" s="246" t="s">
        <v>927</v>
      </c>
      <c r="G85" s="247" t="s">
        <v>577</v>
      </c>
      <c r="H85" s="247" t="s">
        <v>561</v>
      </c>
      <c r="I85" s="252"/>
      <c r="J85" s="252"/>
      <c r="K85" s="252"/>
      <c r="L85" s="252"/>
      <c r="M85" s="2"/>
      <c r="N85" s="2"/>
    </row>
    <row r="86">
      <c r="A86" s="254"/>
      <c r="B86" s="254"/>
      <c r="C86" s="254"/>
      <c r="D86" s="254"/>
      <c r="E86" s="254"/>
      <c r="F86" s="246" t="s">
        <v>932</v>
      </c>
      <c r="G86" s="247" t="s">
        <v>577</v>
      </c>
      <c r="H86" s="247" t="s">
        <v>586</v>
      </c>
      <c r="I86" s="252"/>
      <c r="J86" s="252"/>
      <c r="K86" s="252"/>
      <c r="L86" s="252"/>
      <c r="M86" s="2"/>
      <c r="N86" s="2"/>
    </row>
    <row r="87">
      <c r="A87" s="254"/>
      <c r="B87" s="254"/>
      <c r="C87" s="254"/>
      <c r="D87" s="263"/>
      <c r="E87" s="263"/>
      <c r="F87" s="246" t="s">
        <v>935</v>
      </c>
      <c r="G87" s="247" t="s">
        <v>577</v>
      </c>
      <c r="H87" s="247" t="s">
        <v>586</v>
      </c>
      <c r="I87" s="252"/>
      <c r="J87" s="252"/>
      <c r="K87" s="252"/>
      <c r="L87" s="252"/>
      <c r="M87" s="2"/>
      <c r="N87" s="2"/>
    </row>
    <row r="88">
      <c r="A88" s="254"/>
      <c r="B88" s="254"/>
      <c r="C88" s="254"/>
      <c r="D88" s="335" t="s">
        <v>581</v>
      </c>
      <c r="E88" s="245" t="s">
        <v>938</v>
      </c>
      <c r="F88" s="246" t="s">
        <v>939</v>
      </c>
      <c r="G88" s="247" t="s">
        <v>560</v>
      </c>
      <c r="H88" s="247" t="s">
        <v>617</v>
      </c>
      <c r="I88" s="250" t="s">
        <v>570</v>
      </c>
      <c r="J88" s="261" t="s">
        <v>940</v>
      </c>
      <c r="K88" s="251"/>
      <c r="L88" s="252"/>
      <c r="M88" s="2"/>
      <c r="N88" s="2"/>
    </row>
    <row r="89">
      <c r="A89" s="254"/>
      <c r="B89" s="254"/>
      <c r="C89" s="254"/>
      <c r="D89" s="254"/>
      <c r="E89" s="254"/>
      <c r="F89" s="246" t="s">
        <v>943</v>
      </c>
      <c r="G89" s="247" t="s">
        <v>560</v>
      </c>
      <c r="H89" s="247" t="s">
        <v>586</v>
      </c>
      <c r="I89" s="250" t="s">
        <v>563</v>
      </c>
      <c r="J89" s="251"/>
      <c r="K89" s="247" t="s">
        <v>944</v>
      </c>
      <c r="L89" s="252"/>
      <c r="M89" s="2"/>
      <c r="N89" s="2"/>
    </row>
    <row r="90">
      <c r="A90" s="254"/>
      <c r="B90" s="254"/>
      <c r="C90" s="254"/>
      <c r="D90" s="254"/>
      <c r="E90" s="254"/>
      <c r="F90" s="246" t="s">
        <v>946</v>
      </c>
      <c r="G90" s="247" t="s">
        <v>560</v>
      </c>
      <c r="H90" s="247" t="s">
        <v>617</v>
      </c>
      <c r="I90" s="250" t="s">
        <v>570</v>
      </c>
      <c r="J90" s="247" t="s">
        <v>948</v>
      </c>
      <c r="K90" s="247" t="s">
        <v>949</v>
      </c>
      <c r="L90" s="252"/>
      <c r="M90" s="2"/>
      <c r="N90" s="2"/>
    </row>
    <row r="91">
      <c r="A91" s="254"/>
      <c r="B91" s="254"/>
      <c r="C91" s="254"/>
      <c r="D91" s="254"/>
      <c r="E91" s="254"/>
      <c r="F91" s="246" t="s">
        <v>952</v>
      </c>
      <c r="G91" s="247" t="s">
        <v>577</v>
      </c>
      <c r="H91" s="247" t="s">
        <v>586</v>
      </c>
      <c r="I91" s="252"/>
      <c r="J91" s="252"/>
      <c r="K91" s="252"/>
      <c r="L91" s="252"/>
      <c r="M91" s="2"/>
      <c r="N91" s="2"/>
    </row>
    <row r="92">
      <c r="A92" s="254"/>
      <c r="B92" s="254"/>
      <c r="C92" s="254"/>
      <c r="D92" s="254"/>
      <c r="E92" s="254"/>
      <c r="F92" s="246" t="s">
        <v>953</v>
      </c>
      <c r="G92" s="247" t="s">
        <v>577</v>
      </c>
      <c r="H92" s="247" t="s">
        <v>586</v>
      </c>
      <c r="I92" s="252"/>
      <c r="J92" s="252"/>
      <c r="K92" s="252"/>
      <c r="L92" s="252"/>
      <c r="M92" s="2"/>
      <c r="N92" s="2"/>
    </row>
    <row r="93">
      <c r="A93" s="254"/>
      <c r="B93" s="254"/>
      <c r="C93" s="254"/>
      <c r="D93" s="263"/>
      <c r="E93" s="263"/>
      <c r="F93" s="246" t="s">
        <v>955</v>
      </c>
      <c r="G93" s="247" t="s">
        <v>577</v>
      </c>
      <c r="H93" s="247" t="s">
        <v>586</v>
      </c>
      <c r="I93" s="252"/>
      <c r="J93" s="252"/>
      <c r="K93" s="252"/>
      <c r="L93" s="252"/>
      <c r="M93" s="2"/>
      <c r="N93" s="2"/>
    </row>
    <row r="94">
      <c r="A94" s="254"/>
      <c r="B94" s="254"/>
      <c r="C94" s="254"/>
      <c r="D94" s="335" t="s">
        <v>599</v>
      </c>
      <c r="E94" s="245" t="s">
        <v>960</v>
      </c>
      <c r="F94" s="246" t="s">
        <v>961</v>
      </c>
      <c r="G94" s="247" t="s">
        <v>585</v>
      </c>
      <c r="H94" s="247" t="s">
        <v>604</v>
      </c>
      <c r="I94" s="250" t="s">
        <v>570</v>
      </c>
      <c r="J94" s="250" t="s">
        <v>962</v>
      </c>
      <c r="K94" s="252"/>
      <c r="L94" s="252"/>
      <c r="M94" s="2"/>
      <c r="N94" s="2"/>
    </row>
    <row r="95">
      <c r="A95" s="254"/>
      <c r="B95" s="254"/>
      <c r="C95" s="254"/>
      <c r="D95" s="254"/>
      <c r="E95" s="254"/>
      <c r="F95" s="246" t="s">
        <v>963</v>
      </c>
      <c r="G95" s="247" t="s">
        <v>585</v>
      </c>
      <c r="H95" s="247" t="s">
        <v>604</v>
      </c>
      <c r="I95" s="252"/>
      <c r="J95" s="252"/>
      <c r="K95" s="252"/>
      <c r="L95" s="252"/>
      <c r="M95" s="2"/>
      <c r="N95" s="2"/>
    </row>
    <row r="96">
      <c r="A96" s="254"/>
      <c r="B96" s="254"/>
      <c r="C96" s="254"/>
      <c r="D96" s="254"/>
      <c r="E96" s="254"/>
      <c r="F96" s="246" t="s">
        <v>966</v>
      </c>
      <c r="G96" s="247" t="s">
        <v>585</v>
      </c>
      <c r="H96" s="247" t="s">
        <v>604</v>
      </c>
      <c r="I96" s="250" t="s">
        <v>570</v>
      </c>
      <c r="J96" s="261" t="s">
        <v>967</v>
      </c>
      <c r="K96" s="252"/>
      <c r="L96" s="252"/>
      <c r="M96" s="2"/>
      <c r="N96" s="2"/>
    </row>
    <row r="97">
      <c r="A97" s="254"/>
      <c r="B97" s="254"/>
      <c r="C97" s="254"/>
      <c r="D97" s="254"/>
      <c r="E97" s="254"/>
      <c r="F97" s="246" t="s">
        <v>969</v>
      </c>
      <c r="G97" s="250" t="s">
        <v>788</v>
      </c>
      <c r="H97" s="250" t="s">
        <v>877</v>
      </c>
      <c r="I97" s="250" t="s">
        <v>570</v>
      </c>
      <c r="J97" s="278" t="s">
        <v>970</v>
      </c>
      <c r="K97" s="250" t="s">
        <v>971</v>
      </c>
      <c r="L97" s="252"/>
      <c r="M97" s="2"/>
      <c r="N97" s="2"/>
    </row>
    <row r="98">
      <c r="A98" s="254"/>
      <c r="B98" s="254"/>
      <c r="C98" s="254"/>
      <c r="D98" s="254"/>
      <c r="E98" s="254"/>
      <c r="F98" s="246" t="s">
        <v>972</v>
      </c>
      <c r="G98" s="250" t="s">
        <v>788</v>
      </c>
      <c r="H98" s="250" t="s">
        <v>877</v>
      </c>
      <c r="I98" s="250" t="s">
        <v>563</v>
      </c>
      <c r="J98" s="252"/>
      <c r="K98" s="252"/>
      <c r="L98" s="250" t="s">
        <v>838</v>
      </c>
      <c r="M98" s="2"/>
      <c r="N98" s="2"/>
    </row>
    <row r="99">
      <c r="A99" s="263"/>
      <c r="B99" s="263"/>
      <c r="C99" s="263"/>
      <c r="D99" s="263"/>
      <c r="E99" s="263"/>
      <c r="F99" s="246" t="s">
        <v>973</v>
      </c>
      <c r="G99" s="250" t="s">
        <v>788</v>
      </c>
      <c r="H99" s="250" t="s">
        <v>877</v>
      </c>
      <c r="I99" s="250" t="s">
        <v>570</v>
      </c>
      <c r="J99" s="252"/>
      <c r="K99" s="252"/>
      <c r="L99" s="250" t="s">
        <v>838</v>
      </c>
      <c r="M99" s="2"/>
      <c r="N99" s="2"/>
    </row>
    <row r="100">
      <c r="A100" s="348" t="s">
        <v>401</v>
      </c>
      <c r="B100" s="348" t="s">
        <v>974</v>
      </c>
      <c r="C100" s="348" t="s">
        <v>975</v>
      </c>
      <c r="D100" s="349" t="s">
        <v>552</v>
      </c>
      <c r="E100" s="245" t="s">
        <v>976</v>
      </c>
      <c r="F100" s="246" t="s">
        <v>977</v>
      </c>
      <c r="G100" s="250" t="s">
        <v>788</v>
      </c>
      <c r="H100" s="250" t="s">
        <v>877</v>
      </c>
      <c r="I100" s="250" t="s">
        <v>563</v>
      </c>
      <c r="J100" s="252"/>
      <c r="K100" s="252"/>
      <c r="L100" s="250" t="s">
        <v>838</v>
      </c>
      <c r="M100" s="2"/>
      <c r="N100" s="2"/>
    </row>
    <row r="101">
      <c r="A101" s="254"/>
      <c r="B101" s="254"/>
      <c r="C101" s="254"/>
      <c r="D101" s="254"/>
      <c r="E101" s="254"/>
      <c r="F101" s="246" t="s">
        <v>978</v>
      </c>
      <c r="G101" s="250" t="s">
        <v>788</v>
      </c>
      <c r="H101" s="250" t="s">
        <v>877</v>
      </c>
      <c r="I101" s="250" t="s">
        <v>563</v>
      </c>
      <c r="J101" s="252"/>
      <c r="K101" s="252"/>
      <c r="L101" s="250" t="s">
        <v>838</v>
      </c>
      <c r="M101" s="2"/>
      <c r="N101" s="2"/>
    </row>
    <row r="102">
      <c r="A102" s="254"/>
      <c r="B102" s="254"/>
      <c r="C102" s="254"/>
      <c r="D102" s="254"/>
      <c r="E102" s="254"/>
      <c r="F102" s="246" t="s">
        <v>979</v>
      </c>
      <c r="G102" s="250" t="s">
        <v>788</v>
      </c>
      <c r="H102" s="250" t="s">
        <v>877</v>
      </c>
      <c r="I102" s="250" t="s">
        <v>563</v>
      </c>
      <c r="J102" s="252"/>
      <c r="K102" s="250" t="s">
        <v>980</v>
      </c>
      <c r="L102" s="252"/>
      <c r="M102" s="2"/>
      <c r="N102" s="2"/>
    </row>
    <row r="103">
      <c r="A103" s="254"/>
      <c r="B103" s="254"/>
      <c r="C103" s="254"/>
      <c r="D103" s="254"/>
      <c r="E103" s="254"/>
      <c r="F103" s="246" t="s">
        <v>981</v>
      </c>
      <c r="G103" s="247" t="s">
        <v>577</v>
      </c>
      <c r="H103" s="250" t="s">
        <v>561</v>
      </c>
      <c r="I103" s="252"/>
      <c r="J103" s="252"/>
      <c r="K103" s="252"/>
      <c r="L103" s="252"/>
      <c r="M103" s="2"/>
      <c r="N103" s="2"/>
    </row>
    <row r="104">
      <c r="A104" s="254"/>
      <c r="B104" s="254"/>
      <c r="C104" s="254"/>
      <c r="D104" s="254"/>
      <c r="E104" s="254"/>
      <c r="F104" s="246" t="s">
        <v>982</v>
      </c>
      <c r="G104" s="247" t="s">
        <v>577</v>
      </c>
      <c r="H104" s="250" t="s">
        <v>561</v>
      </c>
      <c r="I104" s="252"/>
      <c r="J104" s="252"/>
      <c r="K104" s="252"/>
      <c r="L104" s="252"/>
      <c r="M104" s="2"/>
      <c r="N104" s="2"/>
    </row>
    <row r="105">
      <c r="A105" s="254"/>
      <c r="B105" s="254"/>
      <c r="C105" s="254"/>
      <c r="D105" s="263"/>
      <c r="E105" s="263"/>
      <c r="F105" s="246" t="s">
        <v>983</v>
      </c>
      <c r="G105" s="247" t="s">
        <v>577</v>
      </c>
      <c r="H105" s="250" t="s">
        <v>561</v>
      </c>
      <c r="I105" s="252"/>
      <c r="J105" s="252"/>
      <c r="K105" s="252"/>
      <c r="L105" s="252"/>
      <c r="M105" s="2"/>
      <c r="N105" s="2"/>
    </row>
    <row r="106">
      <c r="A106" s="254"/>
      <c r="B106" s="254"/>
      <c r="C106" s="254"/>
      <c r="D106" s="349" t="s">
        <v>581</v>
      </c>
      <c r="E106" s="245" t="s">
        <v>984</v>
      </c>
      <c r="F106" s="246" t="s">
        <v>985</v>
      </c>
      <c r="G106" s="247" t="s">
        <v>560</v>
      </c>
      <c r="H106" s="247" t="s">
        <v>569</v>
      </c>
      <c r="I106" s="250" t="s">
        <v>570</v>
      </c>
      <c r="J106" s="261" t="s">
        <v>986</v>
      </c>
      <c r="K106" s="247"/>
      <c r="L106" s="252"/>
      <c r="M106" s="2"/>
      <c r="N106" s="2"/>
    </row>
    <row r="107">
      <c r="A107" s="254"/>
      <c r="B107" s="254"/>
      <c r="C107" s="254"/>
      <c r="D107" s="254"/>
      <c r="E107" s="254"/>
      <c r="F107" s="246" t="s">
        <v>987</v>
      </c>
      <c r="G107" s="247" t="s">
        <v>560</v>
      </c>
      <c r="H107" s="247" t="s">
        <v>569</v>
      </c>
      <c r="I107" s="250" t="s">
        <v>563</v>
      </c>
      <c r="J107" s="247" t="s">
        <v>565</v>
      </c>
      <c r="K107" s="251"/>
      <c r="L107" s="250" t="s">
        <v>988</v>
      </c>
      <c r="M107" s="2"/>
      <c r="N107" s="2"/>
    </row>
    <row r="108">
      <c r="A108" s="254"/>
      <c r="B108" s="254"/>
      <c r="C108" s="254"/>
      <c r="D108" s="254"/>
      <c r="E108" s="254"/>
      <c r="F108" s="246" t="s">
        <v>989</v>
      </c>
      <c r="G108" s="250" t="s">
        <v>788</v>
      </c>
      <c r="H108" s="250" t="s">
        <v>877</v>
      </c>
      <c r="I108" s="250" t="s">
        <v>563</v>
      </c>
      <c r="J108" s="252"/>
      <c r="K108" s="252"/>
      <c r="L108" s="250" t="s">
        <v>838</v>
      </c>
      <c r="M108" s="2"/>
      <c r="N108" s="2"/>
    </row>
    <row r="109">
      <c r="A109" s="254"/>
      <c r="B109" s="254"/>
      <c r="C109" s="254"/>
      <c r="D109" s="263"/>
      <c r="E109" s="263"/>
      <c r="F109" s="246" t="s">
        <v>990</v>
      </c>
      <c r="G109" s="250" t="s">
        <v>788</v>
      </c>
      <c r="H109" s="250" t="s">
        <v>877</v>
      </c>
      <c r="I109" s="250" t="s">
        <v>563</v>
      </c>
      <c r="J109" s="252"/>
      <c r="K109" s="252"/>
      <c r="L109" s="250" t="s">
        <v>838</v>
      </c>
      <c r="M109" s="2"/>
      <c r="N109" s="2"/>
    </row>
    <row r="110" ht="26.25" customHeight="1">
      <c r="A110" s="254"/>
      <c r="B110" s="254"/>
      <c r="C110" s="254"/>
      <c r="D110" s="349" t="s">
        <v>599</v>
      </c>
      <c r="E110" s="245" t="s">
        <v>991</v>
      </c>
      <c r="F110" s="246" t="s">
        <v>992</v>
      </c>
      <c r="G110" s="247" t="s">
        <v>585</v>
      </c>
      <c r="H110" s="247" t="s">
        <v>604</v>
      </c>
      <c r="I110" s="250" t="s">
        <v>570</v>
      </c>
      <c r="J110" s="261" t="s">
        <v>993</v>
      </c>
      <c r="K110" s="252"/>
      <c r="L110" s="252"/>
      <c r="M110" s="2"/>
      <c r="N110" s="2"/>
    </row>
    <row r="111" ht="88.5" customHeight="1">
      <c r="A111" s="254"/>
      <c r="B111" s="254"/>
      <c r="C111" s="254"/>
      <c r="D111" s="254"/>
      <c r="E111" s="254"/>
      <c r="F111" s="246" t="s">
        <v>994</v>
      </c>
      <c r="G111" s="247" t="s">
        <v>585</v>
      </c>
      <c r="H111" s="247" t="s">
        <v>604</v>
      </c>
      <c r="I111" s="250" t="s">
        <v>570</v>
      </c>
      <c r="J111" s="261" t="s">
        <v>995</v>
      </c>
      <c r="K111" s="252"/>
      <c r="L111" s="252"/>
      <c r="M111" s="2"/>
      <c r="N111" s="2"/>
    </row>
    <row r="112" ht="26.25" customHeight="1">
      <c r="A112" s="254"/>
      <c r="B112" s="254"/>
      <c r="C112" s="254"/>
      <c r="D112" s="254"/>
      <c r="E112" s="254"/>
      <c r="F112" s="246" t="s">
        <v>996</v>
      </c>
      <c r="G112" s="247" t="s">
        <v>585</v>
      </c>
      <c r="H112" s="247" t="s">
        <v>604</v>
      </c>
      <c r="I112" s="252"/>
      <c r="J112" s="250" t="s">
        <v>997</v>
      </c>
      <c r="K112" s="252"/>
      <c r="L112" s="252"/>
      <c r="M112" s="2"/>
      <c r="N112" s="2"/>
    </row>
    <row r="113">
      <c r="A113" s="254"/>
      <c r="B113" s="254"/>
      <c r="C113" s="254"/>
      <c r="D113" s="254"/>
      <c r="E113" s="254"/>
      <c r="F113" s="246" t="s">
        <v>998</v>
      </c>
      <c r="G113" s="250" t="s">
        <v>788</v>
      </c>
      <c r="H113" s="250" t="s">
        <v>999</v>
      </c>
      <c r="I113" s="250" t="s">
        <v>563</v>
      </c>
      <c r="J113" s="250" t="s">
        <v>1000</v>
      </c>
      <c r="K113" s="252"/>
      <c r="L113" s="250"/>
      <c r="M113" s="2"/>
      <c r="N113" s="2"/>
    </row>
    <row r="114">
      <c r="A114" s="254"/>
      <c r="B114" s="254"/>
      <c r="C114" s="254"/>
      <c r="D114" s="254"/>
      <c r="E114" s="254"/>
      <c r="F114" s="246" t="s">
        <v>1001</v>
      </c>
      <c r="G114" s="250" t="s">
        <v>788</v>
      </c>
      <c r="H114" s="250" t="s">
        <v>999</v>
      </c>
      <c r="I114" s="250" t="s">
        <v>563</v>
      </c>
      <c r="J114" s="252"/>
      <c r="K114" s="252"/>
      <c r="L114" s="250" t="s">
        <v>838</v>
      </c>
      <c r="M114" s="2"/>
      <c r="N114" s="2"/>
    </row>
    <row r="115">
      <c r="A115" s="263"/>
      <c r="B115" s="263"/>
      <c r="C115" s="263"/>
      <c r="D115" s="263"/>
      <c r="E115" s="263"/>
      <c r="F115" s="246" t="s">
        <v>1002</v>
      </c>
      <c r="G115" s="250" t="s">
        <v>788</v>
      </c>
      <c r="H115" s="250" t="s">
        <v>999</v>
      </c>
      <c r="I115" s="250" t="s">
        <v>563</v>
      </c>
      <c r="J115" s="198" t="s">
        <v>1003</v>
      </c>
      <c r="K115" s="252"/>
      <c r="L115" s="250" t="s">
        <v>838</v>
      </c>
      <c r="M115" s="2"/>
      <c r="N115" s="2"/>
    </row>
    <row r="116" ht="43.5" customHeight="1">
      <c r="A116" s="350" t="s">
        <v>1004</v>
      </c>
      <c r="B116" s="351" t="s">
        <v>1005</v>
      </c>
      <c r="C116" s="351" t="s">
        <v>1006</v>
      </c>
      <c r="D116" s="352" t="s">
        <v>552</v>
      </c>
      <c r="E116" s="245" t="s">
        <v>1007</v>
      </c>
      <c r="F116" s="246" t="s">
        <v>1008</v>
      </c>
      <c r="G116" s="247" t="s">
        <v>585</v>
      </c>
      <c r="H116" s="247" t="s">
        <v>604</v>
      </c>
      <c r="I116" s="250" t="s">
        <v>570</v>
      </c>
      <c r="J116" s="261" t="s">
        <v>1009</v>
      </c>
      <c r="K116" s="252"/>
      <c r="L116" s="252"/>
      <c r="M116" s="2"/>
      <c r="N116" s="2"/>
    </row>
    <row r="117" ht="43.5" customHeight="1">
      <c r="A117" s="254"/>
      <c r="B117" s="254"/>
      <c r="C117" s="254"/>
      <c r="D117" s="254"/>
      <c r="E117" s="254"/>
      <c r="F117" s="246" t="s">
        <v>1010</v>
      </c>
      <c r="G117" s="247" t="s">
        <v>585</v>
      </c>
      <c r="H117" s="247" t="s">
        <v>604</v>
      </c>
      <c r="I117" s="250" t="s">
        <v>563</v>
      </c>
      <c r="J117" s="252"/>
      <c r="K117" s="252"/>
      <c r="L117" s="252"/>
      <c r="M117" s="2"/>
      <c r="N117" s="2"/>
    </row>
    <row r="118">
      <c r="A118" s="254"/>
      <c r="B118" s="254"/>
      <c r="C118" s="254"/>
      <c r="D118" s="254"/>
      <c r="E118" s="254"/>
      <c r="F118" s="246" t="s">
        <v>1011</v>
      </c>
      <c r="G118" s="317" t="s">
        <v>788</v>
      </c>
      <c r="H118" s="250" t="s">
        <v>999</v>
      </c>
      <c r="I118" s="250" t="s">
        <v>563</v>
      </c>
      <c r="J118" s="252"/>
      <c r="K118" s="252"/>
      <c r="L118" s="250" t="s">
        <v>838</v>
      </c>
      <c r="M118" s="2"/>
      <c r="N118" s="2"/>
    </row>
    <row r="119">
      <c r="A119" s="254"/>
      <c r="B119" s="254"/>
      <c r="C119" s="254"/>
      <c r="D119" s="263"/>
      <c r="E119" s="263"/>
      <c r="F119" s="246" t="s">
        <v>1012</v>
      </c>
      <c r="G119" s="317" t="s">
        <v>788</v>
      </c>
      <c r="H119" s="317" t="s">
        <v>868</v>
      </c>
      <c r="I119" s="250" t="s">
        <v>563</v>
      </c>
      <c r="J119" s="252"/>
      <c r="K119" s="252"/>
      <c r="L119" s="250" t="s">
        <v>838</v>
      </c>
      <c r="M119" s="2"/>
      <c r="N119" s="2"/>
    </row>
    <row r="120">
      <c r="A120" s="254"/>
      <c r="B120" s="254"/>
      <c r="C120" s="254"/>
      <c r="D120" s="352" t="s">
        <v>581</v>
      </c>
      <c r="E120" s="245" t="s">
        <v>1013</v>
      </c>
      <c r="F120" s="246" t="s">
        <v>1014</v>
      </c>
      <c r="G120" s="247" t="s">
        <v>560</v>
      </c>
      <c r="H120" s="247" t="s">
        <v>569</v>
      </c>
      <c r="I120" s="250" t="s">
        <v>563</v>
      </c>
      <c r="J120" s="251"/>
      <c r="K120" s="247" t="s">
        <v>1015</v>
      </c>
      <c r="L120" s="252"/>
      <c r="M120" s="2"/>
      <c r="N120" s="2"/>
    </row>
    <row r="121">
      <c r="A121" s="254"/>
      <c r="B121" s="254"/>
      <c r="C121" s="254"/>
      <c r="D121" s="254"/>
      <c r="E121" s="254"/>
      <c r="F121" s="246" t="s">
        <v>1016</v>
      </c>
      <c r="G121" s="247" t="s">
        <v>560</v>
      </c>
      <c r="H121" s="247" t="s">
        <v>569</v>
      </c>
      <c r="I121" s="250" t="s">
        <v>563</v>
      </c>
      <c r="J121" s="247" t="s">
        <v>1017</v>
      </c>
      <c r="K121" s="247" t="s">
        <v>1018</v>
      </c>
      <c r="L121" s="252"/>
      <c r="M121" s="2"/>
      <c r="N121" s="2"/>
    </row>
    <row r="122">
      <c r="A122" s="254"/>
      <c r="B122" s="254"/>
      <c r="C122" s="254"/>
      <c r="D122" s="254"/>
      <c r="E122" s="254"/>
      <c r="F122" s="246" t="s">
        <v>1019</v>
      </c>
      <c r="G122" s="247" t="s">
        <v>560</v>
      </c>
      <c r="H122" s="247" t="s">
        <v>569</v>
      </c>
      <c r="I122" s="250" t="s">
        <v>563</v>
      </c>
      <c r="J122" s="251"/>
      <c r="K122" s="247" t="s">
        <v>1020</v>
      </c>
      <c r="L122" s="252"/>
      <c r="M122" s="2"/>
      <c r="N122" s="2"/>
    </row>
    <row r="123">
      <c r="A123" s="254"/>
      <c r="B123" s="254"/>
      <c r="C123" s="254"/>
      <c r="D123" s="254"/>
      <c r="E123" s="254"/>
      <c r="F123" s="246" t="s">
        <v>1021</v>
      </c>
      <c r="G123" s="247" t="s">
        <v>577</v>
      </c>
      <c r="H123" s="250" t="s">
        <v>561</v>
      </c>
      <c r="I123" s="252"/>
      <c r="J123" s="252"/>
      <c r="K123" s="252"/>
      <c r="L123" s="252"/>
      <c r="M123" s="2"/>
      <c r="N123" s="2"/>
    </row>
    <row r="124">
      <c r="A124" s="254"/>
      <c r="B124" s="254"/>
      <c r="C124" s="254"/>
      <c r="D124" s="254"/>
      <c r="E124" s="254"/>
      <c r="F124" s="246" t="s">
        <v>1022</v>
      </c>
      <c r="G124" s="247" t="s">
        <v>577</v>
      </c>
      <c r="H124" s="250" t="s">
        <v>561</v>
      </c>
      <c r="I124" s="252"/>
      <c r="J124" s="252"/>
      <c r="K124" s="252"/>
      <c r="L124" s="252"/>
      <c r="M124" s="2"/>
      <c r="N124" s="2"/>
    </row>
    <row r="125">
      <c r="A125" s="254"/>
      <c r="B125" s="254"/>
      <c r="C125" s="254"/>
      <c r="D125" s="263"/>
      <c r="E125" s="263"/>
      <c r="F125" s="246" t="s">
        <v>1023</v>
      </c>
      <c r="G125" s="247" t="s">
        <v>577</v>
      </c>
      <c r="H125" s="250" t="s">
        <v>561</v>
      </c>
      <c r="I125" s="252"/>
      <c r="J125" s="252"/>
      <c r="K125" s="252"/>
      <c r="L125" s="252"/>
      <c r="M125" s="2"/>
      <c r="N125" s="2"/>
    </row>
    <row r="126">
      <c r="A126" s="254"/>
      <c r="B126" s="254"/>
      <c r="C126" s="254"/>
      <c r="D126" s="352" t="s">
        <v>599</v>
      </c>
      <c r="E126" s="245" t="s">
        <v>1024</v>
      </c>
      <c r="F126" s="246" t="s">
        <v>1025</v>
      </c>
      <c r="G126" s="247" t="s">
        <v>560</v>
      </c>
      <c r="H126" s="247" t="s">
        <v>569</v>
      </c>
      <c r="I126" s="250" t="s">
        <v>570</v>
      </c>
      <c r="J126" s="261" t="s">
        <v>1026</v>
      </c>
      <c r="K126" s="247" t="s">
        <v>1027</v>
      </c>
      <c r="L126" s="252"/>
      <c r="M126" s="2"/>
      <c r="N126" s="2"/>
    </row>
    <row r="127">
      <c r="A127" s="254"/>
      <c r="B127" s="254"/>
      <c r="C127" s="254"/>
      <c r="D127" s="254"/>
      <c r="E127" s="254"/>
      <c r="F127" s="246" t="s">
        <v>1028</v>
      </c>
      <c r="G127" s="247" t="s">
        <v>560</v>
      </c>
      <c r="H127" s="247" t="s">
        <v>569</v>
      </c>
      <c r="I127" s="250" t="s">
        <v>563</v>
      </c>
      <c r="J127" s="247" t="s">
        <v>1029</v>
      </c>
      <c r="K127" s="247" t="s">
        <v>1030</v>
      </c>
      <c r="L127" s="252"/>
      <c r="M127" s="2"/>
      <c r="N127" s="2"/>
    </row>
    <row r="128">
      <c r="A128" s="254"/>
      <c r="B128" s="254"/>
      <c r="C128" s="254"/>
      <c r="D128" s="254"/>
      <c r="E128" s="254"/>
      <c r="F128" s="246" t="s">
        <v>1031</v>
      </c>
      <c r="G128" s="247" t="s">
        <v>560</v>
      </c>
      <c r="H128" s="247" t="s">
        <v>569</v>
      </c>
      <c r="I128" s="250" t="s">
        <v>563</v>
      </c>
      <c r="J128" s="261" t="s">
        <v>1032</v>
      </c>
      <c r="K128" s="247" t="s">
        <v>1033</v>
      </c>
      <c r="L128" s="252"/>
      <c r="M128" s="2"/>
      <c r="N128" s="2"/>
    </row>
    <row r="129">
      <c r="A129" s="254"/>
      <c r="B129" s="254"/>
      <c r="C129" s="254"/>
      <c r="D129" s="254"/>
      <c r="E129" s="254"/>
      <c r="F129" s="246" t="s">
        <v>1034</v>
      </c>
      <c r="G129" s="317" t="s">
        <v>788</v>
      </c>
      <c r="H129" s="316" t="s">
        <v>1035</v>
      </c>
      <c r="I129" s="250" t="s">
        <v>570</v>
      </c>
      <c r="J129" s="250" t="s">
        <v>1036</v>
      </c>
      <c r="K129" s="250" t="s">
        <v>1037</v>
      </c>
      <c r="L129" s="250" t="s">
        <v>838</v>
      </c>
      <c r="M129" s="2"/>
      <c r="N129" s="2"/>
    </row>
    <row r="130">
      <c r="A130" s="254"/>
      <c r="B130" s="254"/>
      <c r="C130" s="254"/>
      <c r="D130" s="254"/>
      <c r="E130" s="254"/>
      <c r="F130" s="246" t="s">
        <v>1038</v>
      </c>
      <c r="G130" s="317" t="s">
        <v>788</v>
      </c>
      <c r="H130" s="316" t="s">
        <v>1039</v>
      </c>
      <c r="I130" s="250" t="s">
        <v>570</v>
      </c>
      <c r="J130" s="250" t="s">
        <v>1040</v>
      </c>
      <c r="K130" s="252"/>
      <c r="L130" s="250" t="s">
        <v>838</v>
      </c>
      <c r="M130" s="2"/>
      <c r="N130" s="2"/>
    </row>
    <row r="131">
      <c r="A131" s="263"/>
      <c r="B131" s="263"/>
      <c r="C131" s="263"/>
      <c r="D131" s="263"/>
      <c r="E131" s="263"/>
      <c r="F131" s="246" t="s">
        <v>1041</v>
      </c>
      <c r="G131" s="317" t="s">
        <v>788</v>
      </c>
      <c r="H131" s="316" t="s">
        <v>1035</v>
      </c>
      <c r="I131" s="250" t="s">
        <v>563</v>
      </c>
      <c r="J131" s="252"/>
      <c r="K131" s="252"/>
      <c r="L131" s="250" t="s">
        <v>838</v>
      </c>
      <c r="M131" s="2"/>
      <c r="N131" s="2"/>
    </row>
    <row r="132">
      <c r="A132" s="2"/>
      <c r="B132" s="10"/>
      <c r="C132" s="2"/>
      <c r="D132" s="2"/>
      <c r="E132" s="353"/>
      <c r="F132" s="353"/>
      <c r="G132" s="2"/>
      <c r="H132" s="2"/>
      <c r="I132" s="2"/>
      <c r="J132" s="2"/>
      <c r="K132" s="354"/>
      <c r="L132" s="2"/>
      <c r="M132" s="2"/>
      <c r="N132" s="2"/>
    </row>
    <row r="133">
      <c r="A133" s="2"/>
      <c r="B133" s="10"/>
      <c r="C133" s="2"/>
      <c r="D133" s="2"/>
      <c r="E133" s="353"/>
      <c r="F133" s="353"/>
      <c r="G133" s="2"/>
      <c r="H133" s="2"/>
      <c r="I133" s="2"/>
      <c r="J133" s="2"/>
      <c r="K133" s="354"/>
      <c r="L133" s="2"/>
      <c r="M133" s="2"/>
      <c r="N133" s="2"/>
    </row>
    <row r="134">
      <c r="A134" s="2"/>
      <c r="B134" s="10"/>
      <c r="C134" s="2"/>
      <c r="D134" s="2"/>
      <c r="E134" s="353"/>
      <c r="F134" s="353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10"/>
      <c r="C135" s="2"/>
      <c r="D135" s="2"/>
      <c r="E135" s="13"/>
      <c r="F135" s="13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10"/>
      <c r="C136" s="2"/>
      <c r="D136" s="2"/>
      <c r="E136" s="13"/>
      <c r="F136" s="13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10"/>
      <c r="C137" s="2"/>
      <c r="D137" s="2"/>
      <c r="E137" s="13"/>
      <c r="F137" s="13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10"/>
      <c r="C138" s="2"/>
      <c r="D138" s="2"/>
      <c r="E138" s="13"/>
      <c r="F138" s="13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10"/>
      <c r="C139" s="2"/>
      <c r="D139" s="2"/>
      <c r="E139" s="13"/>
      <c r="F139" s="13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10"/>
      <c r="C140" s="2"/>
      <c r="D140" s="2"/>
      <c r="E140" s="13"/>
      <c r="F140" s="13"/>
      <c r="G140" s="2"/>
      <c r="H140" s="2"/>
      <c r="I140" s="2"/>
      <c r="J140" s="2"/>
      <c r="K140" s="2"/>
      <c r="L140" s="2"/>
      <c r="M140" s="2"/>
      <c r="N140" s="2"/>
    </row>
  </sheetData>
  <customSheetViews>
    <customSheetView guid="{1FE4C4A1-1FC5-4135-BD8C-DB599C832FF4}" filter="1" showAutoFilter="1">
      <autoFilter ref="$A$1:$L$131">
        <filterColumn colId="7">
          <filters>
            <filter val="Servicios al Estudiante"/>
            <filter val="Admisión"/>
          </filters>
        </filterColumn>
      </autoFilter>
    </customSheetView>
    <customSheetView guid="{30D3C33A-139E-45F3-B06B-CF893E6A0EC5}" filter="1" showAutoFilter="1">
      <autoFilter ref="$A$1:$L$131"/>
    </customSheetView>
  </customSheetViews>
  <mergeCells count="71">
    <mergeCell ref="D22:D27"/>
    <mergeCell ref="E22:E27"/>
    <mergeCell ref="D28:D33"/>
    <mergeCell ref="E28:E33"/>
    <mergeCell ref="D34:D39"/>
    <mergeCell ref="E34:E39"/>
    <mergeCell ref="D40:D45"/>
    <mergeCell ref="E40:E45"/>
    <mergeCell ref="E46:E51"/>
    <mergeCell ref="B68:B81"/>
    <mergeCell ref="C68:C81"/>
    <mergeCell ref="A34:A51"/>
    <mergeCell ref="B34:B51"/>
    <mergeCell ref="C34:C51"/>
    <mergeCell ref="A52:A67"/>
    <mergeCell ref="B52:B67"/>
    <mergeCell ref="C52:C67"/>
    <mergeCell ref="A68:A81"/>
    <mergeCell ref="E88:E93"/>
    <mergeCell ref="E94:E99"/>
    <mergeCell ref="E52:E55"/>
    <mergeCell ref="E56:E61"/>
    <mergeCell ref="E62:E67"/>
    <mergeCell ref="E68:E69"/>
    <mergeCell ref="E70:E75"/>
    <mergeCell ref="E76:E81"/>
    <mergeCell ref="E82:E87"/>
    <mergeCell ref="B116:B131"/>
    <mergeCell ref="C116:C131"/>
    <mergeCell ref="A82:A99"/>
    <mergeCell ref="B82:B99"/>
    <mergeCell ref="C82:C99"/>
    <mergeCell ref="A100:A115"/>
    <mergeCell ref="B100:B115"/>
    <mergeCell ref="C100:C115"/>
    <mergeCell ref="A116:A131"/>
    <mergeCell ref="D7:D11"/>
    <mergeCell ref="D12:D17"/>
    <mergeCell ref="C3:C17"/>
    <mergeCell ref="C18:C33"/>
    <mergeCell ref="D18:D21"/>
    <mergeCell ref="E18:E21"/>
    <mergeCell ref="A1:D1"/>
    <mergeCell ref="A3:A33"/>
    <mergeCell ref="B3:B33"/>
    <mergeCell ref="D3:D6"/>
    <mergeCell ref="E3:E6"/>
    <mergeCell ref="E7:E11"/>
    <mergeCell ref="E12:E17"/>
    <mergeCell ref="D46:D51"/>
    <mergeCell ref="D52:D55"/>
    <mergeCell ref="D56:D61"/>
    <mergeCell ref="D62:D67"/>
    <mergeCell ref="D68:D69"/>
    <mergeCell ref="D70:D75"/>
    <mergeCell ref="D76:D81"/>
    <mergeCell ref="D110:D115"/>
    <mergeCell ref="E110:E115"/>
    <mergeCell ref="D116:D119"/>
    <mergeCell ref="E116:E119"/>
    <mergeCell ref="D120:D125"/>
    <mergeCell ref="E120:E125"/>
    <mergeCell ref="D126:D131"/>
    <mergeCell ref="E126:E131"/>
    <mergeCell ref="D82:D87"/>
    <mergeCell ref="D88:D93"/>
    <mergeCell ref="D94:D99"/>
    <mergeCell ref="D100:D105"/>
    <mergeCell ref="E100:E105"/>
    <mergeCell ref="D106:D109"/>
    <mergeCell ref="E106:E109"/>
  </mergeCells>
  <dataValidations>
    <dataValidation type="list" allowBlank="1" showErrorMessage="1" sqref="I3:I131">
      <formula1>"COMPLETADO,NO COMPLETADO"</formula1>
    </dataValidation>
  </dataValidations>
  <hyperlinks>
    <hyperlink r:id="rId1" ref="F1"/>
    <hyperlink r:id="rId2" ref="J4"/>
    <hyperlink r:id="rId3" ref="J13"/>
    <hyperlink r:id="rId4" ref="J14"/>
    <hyperlink r:id="rId5" ref="J15"/>
    <hyperlink r:id="rId6" ref="J16"/>
    <hyperlink r:id="rId7" ref="J17"/>
    <hyperlink r:id="rId8" ref="J18"/>
    <hyperlink r:id="rId9" ref="J19"/>
    <hyperlink r:id="rId10" ref="J23"/>
    <hyperlink r:id="rId11" ref="J29"/>
    <hyperlink r:id="rId12" ref="J30"/>
    <hyperlink r:id="rId13" ref="J31"/>
    <hyperlink r:id="rId14" ref="J32"/>
    <hyperlink r:id="rId15" ref="J52"/>
    <hyperlink r:id="rId16" ref="J56"/>
    <hyperlink r:id="rId17" ref="J57"/>
    <hyperlink r:id="rId18" ref="J58"/>
    <hyperlink r:id="rId19" ref="J60"/>
    <hyperlink r:id="rId20" ref="J62"/>
    <hyperlink r:id="rId21" ref="J63"/>
    <hyperlink r:id="rId22" ref="J65"/>
    <hyperlink r:id="rId23" ref="J67"/>
    <hyperlink r:id="rId24" ref="J88"/>
    <hyperlink r:id="rId25" ref="J96"/>
    <hyperlink r:id="rId26" ref="J97"/>
    <hyperlink r:id="rId27" location="gid=72753164" ref="J106"/>
    <hyperlink r:id="rId28" ref="J110"/>
    <hyperlink r:id="rId29" ref="J111"/>
    <hyperlink r:id="rId30" ref="J116"/>
    <hyperlink r:id="rId31" location="gid=1396614406" ref="J126"/>
    <hyperlink r:id="rId32" location="gid=1396614406" ref="J12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2.0"/>
    <col customWidth="1" min="3" max="3" width="38.0"/>
    <col customWidth="1" min="4" max="4" width="26.0"/>
    <col customWidth="1" min="5" max="5" width="34.0"/>
    <col customWidth="1" min="6" max="6" width="20.0"/>
    <col customWidth="1" min="7" max="7" width="30.0"/>
    <col customWidth="1" min="8" max="8" width="12.0"/>
    <col customWidth="1" min="9" max="9" width="18.0"/>
    <col customWidth="1" min="10" max="10" width="12.0"/>
    <col customWidth="1" min="11" max="11" width="38.0"/>
    <col customWidth="1" min="12" max="12" width="40.0"/>
    <col customWidth="1" min="13" max="13" width="32.0"/>
    <col customWidth="1" min="14" max="14" width="32.75"/>
    <col customWidth="1" min="15" max="15" width="49.13"/>
    <col customWidth="1" min="16" max="26" width="8.63"/>
  </cols>
  <sheetData>
    <row r="1">
      <c r="A1" s="239" t="s">
        <v>542</v>
      </c>
      <c r="B1" s="239" t="s">
        <v>543</v>
      </c>
      <c r="C1" s="239" t="s">
        <v>544</v>
      </c>
      <c r="D1" s="239" t="s">
        <v>545</v>
      </c>
      <c r="E1" s="239" t="s">
        <v>547</v>
      </c>
      <c r="F1" s="239" t="s">
        <v>21</v>
      </c>
      <c r="G1" s="239" t="s">
        <v>548</v>
      </c>
      <c r="H1" s="239" t="s">
        <v>549</v>
      </c>
      <c r="I1" s="243" t="s">
        <v>551</v>
      </c>
      <c r="J1" s="239" t="s">
        <v>553</v>
      </c>
      <c r="K1" s="243" t="s">
        <v>554</v>
      </c>
      <c r="L1" s="239" t="s">
        <v>556</v>
      </c>
      <c r="M1" s="239" t="s">
        <v>557</v>
      </c>
      <c r="N1" s="243" t="s">
        <v>558</v>
      </c>
      <c r="O1" s="243"/>
    </row>
    <row r="2" ht="45.0" customHeight="1">
      <c r="A2" s="248"/>
      <c r="B2" s="249" t="s">
        <v>562</v>
      </c>
      <c r="C2" s="249" t="s">
        <v>564</v>
      </c>
      <c r="D2" s="253" t="s">
        <v>566</v>
      </c>
      <c r="E2" s="255"/>
      <c r="F2" s="255"/>
      <c r="G2" s="255"/>
      <c r="H2" s="255"/>
      <c r="I2" s="255"/>
      <c r="J2" s="255"/>
      <c r="K2" s="255"/>
      <c r="L2" s="256" t="s">
        <v>568</v>
      </c>
      <c r="M2" s="257"/>
      <c r="N2" s="258" t="s">
        <v>572</v>
      </c>
      <c r="O2" s="259"/>
    </row>
    <row r="3" ht="45.0" customHeight="1">
      <c r="A3" s="260">
        <v>1.0</v>
      </c>
      <c r="D3" s="262" t="s">
        <v>574</v>
      </c>
      <c r="E3" s="262" t="s">
        <v>575</v>
      </c>
      <c r="F3" s="262" t="s">
        <v>576</v>
      </c>
      <c r="G3" s="262" t="s">
        <v>577</v>
      </c>
      <c r="H3" s="264" t="s">
        <v>580</v>
      </c>
      <c r="I3" s="264" t="str">
        <f t="shared" ref="I3:I5" si="1">IF(H3="SÍ","Completado",IF(H3="NO","Acción Pendiente",IF(H3="N/A","No Aplica","Revisión Pendiente")))</f>
        <v>Completado</v>
      </c>
      <c r="J3" s="266">
        <f t="shared" ref="J3:J5" si="2">IF(H3="SÍ",100%,IF(H3="N/A","",0%))</f>
        <v>1</v>
      </c>
      <c r="K3" s="262" t="s">
        <v>587</v>
      </c>
      <c r="L3" s="262" t="s">
        <v>588</v>
      </c>
      <c r="M3" s="262" t="str">
        <f t="shared" ref="M3:M5" si="3">IF(H3="SÍ","Mantener evidencia y monitorear",IF(H3="NO","Definir acción correctiva y adjuntar evidencia",IF(H3="N/A","Mantener justificación en archivo","Confirmar estado y evidencia")))</f>
        <v>Mantener evidencia y monitorear</v>
      </c>
      <c r="N3" s="268" t="s">
        <v>590</v>
      </c>
      <c r="O3" s="269"/>
    </row>
    <row r="4" ht="45.0" customHeight="1">
      <c r="A4" s="260">
        <v>2.0</v>
      </c>
      <c r="D4" s="262" t="s">
        <v>574</v>
      </c>
      <c r="E4" s="262" t="s">
        <v>592</v>
      </c>
      <c r="F4" s="262" t="s">
        <v>593</v>
      </c>
      <c r="G4" s="270" t="s">
        <v>594</v>
      </c>
      <c r="H4" s="264" t="s">
        <v>580</v>
      </c>
      <c r="I4" s="264" t="str">
        <f t="shared" si="1"/>
        <v>Completado</v>
      </c>
      <c r="J4" s="266">
        <f t="shared" si="2"/>
        <v>1</v>
      </c>
      <c r="K4" s="262" t="s">
        <v>596</v>
      </c>
      <c r="L4" s="262"/>
      <c r="M4" s="262" t="str">
        <f t="shared" si="3"/>
        <v>Mantener evidencia y monitorear</v>
      </c>
      <c r="N4" s="268" t="s">
        <v>597</v>
      </c>
      <c r="O4" s="269"/>
    </row>
    <row r="5" ht="45.0" customHeight="1">
      <c r="A5" s="260">
        <v>3.0</v>
      </c>
      <c r="D5" s="262" t="s">
        <v>574</v>
      </c>
      <c r="E5" s="262" t="s">
        <v>601</v>
      </c>
      <c r="F5" s="262" t="s">
        <v>603</v>
      </c>
      <c r="G5" s="262" t="s">
        <v>577</v>
      </c>
      <c r="H5" s="264" t="s">
        <v>580</v>
      </c>
      <c r="I5" s="264" t="str">
        <f t="shared" si="1"/>
        <v>Completado</v>
      </c>
      <c r="J5" s="266">
        <f t="shared" si="2"/>
        <v>1</v>
      </c>
      <c r="K5" s="262"/>
      <c r="L5" s="262" t="s">
        <v>588</v>
      </c>
      <c r="M5" s="262" t="str">
        <f t="shared" si="3"/>
        <v>Mantener evidencia y monitorear</v>
      </c>
      <c r="N5" s="268" t="s">
        <v>590</v>
      </c>
      <c r="O5" s="269"/>
    </row>
    <row r="6" ht="45.0" customHeight="1">
      <c r="A6" s="260"/>
      <c r="D6" s="271" t="s">
        <v>607</v>
      </c>
      <c r="L6" s="272" t="s">
        <v>608</v>
      </c>
      <c r="M6" s="273"/>
      <c r="N6" s="274" t="s">
        <v>572</v>
      </c>
      <c r="O6" s="275"/>
    </row>
    <row r="7" ht="45.0" customHeight="1">
      <c r="A7" s="260">
        <v>4.0</v>
      </c>
      <c r="D7" s="262" t="s">
        <v>611</v>
      </c>
      <c r="E7" s="262" t="s">
        <v>612</v>
      </c>
      <c r="F7" s="262" t="s">
        <v>613</v>
      </c>
      <c r="G7" s="262" t="s">
        <v>577</v>
      </c>
      <c r="H7" s="264" t="s">
        <v>580</v>
      </c>
      <c r="I7" s="264" t="str">
        <f t="shared" ref="I7:I8" si="4">IF(H7="SÍ","Completado",IF(H7="NO","Acción Pendiente",IF(H7="N/A","No Aplica","Revisión Pendiente")))</f>
        <v>Completado</v>
      </c>
      <c r="J7" s="266">
        <f t="shared" ref="J7:J8" si="5">IF(H7="SÍ",100%,IF(H7="N/A","",0%))</f>
        <v>1</v>
      </c>
      <c r="K7" s="262" t="s">
        <v>618</v>
      </c>
      <c r="L7" s="262" t="s">
        <v>619</v>
      </c>
      <c r="M7" s="262" t="str">
        <f t="shared" ref="M7:M8" si="6">IF(H7="SÍ","Mantener evidencia y monitorear",IF(H7="NO","Definir acción correctiva y adjuntar evidencia",IF(H7="N/A","Mantener justificación en archivo","Confirmar estado y evidencia")))</f>
        <v>Mantener evidencia y monitorear</v>
      </c>
      <c r="N7" s="9" t="s">
        <v>572</v>
      </c>
      <c r="O7" s="269"/>
    </row>
    <row r="8" ht="45.0" customHeight="1">
      <c r="A8" s="260">
        <v>5.0</v>
      </c>
      <c r="D8" s="262" t="s">
        <v>611</v>
      </c>
      <c r="E8" s="262" t="s">
        <v>622</v>
      </c>
      <c r="F8" s="262" t="s">
        <v>576</v>
      </c>
      <c r="G8" s="262" t="s">
        <v>577</v>
      </c>
      <c r="H8" s="277" t="s">
        <v>624</v>
      </c>
      <c r="I8" s="277" t="str">
        <f t="shared" si="4"/>
        <v>Acción Pendiente</v>
      </c>
      <c r="J8" s="266">
        <f t="shared" si="5"/>
        <v>0</v>
      </c>
      <c r="K8" s="262" t="s">
        <v>626</v>
      </c>
      <c r="L8" s="262"/>
      <c r="M8" s="262" t="str">
        <f t="shared" si="6"/>
        <v>Definir acción correctiva y adjuntar evidencia</v>
      </c>
      <c r="N8" s="2"/>
      <c r="O8" s="269"/>
    </row>
    <row r="9" ht="45.0" customHeight="1">
      <c r="A9" s="260"/>
      <c r="D9" s="271" t="s">
        <v>628</v>
      </c>
      <c r="L9" s="279" t="s">
        <v>629</v>
      </c>
      <c r="M9" s="273"/>
      <c r="N9" s="274" t="s">
        <v>572</v>
      </c>
      <c r="O9" s="275"/>
    </row>
    <row r="10" ht="45.0" customHeight="1">
      <c r="A10" s="260">
        <v>6.0</v>
      </c>
      <c r="D10" s="262" t="s">
        <v>631</v>
      </c>
      <c r="E10" s="262" t="s">
        <v>633</v>
      </c>
      <c r="F10" s="262" t="s">
        <v>634</v>
      </c>
      <c r="G10" s="262" t="s">
        <v>636</v>
      </c>
      <c r="H10" s="264" t="s">
        <v>580</v>
      </c>
      <c r="I10" s="264" t="str">
        <f t="shared" ref="I10:I11" si="7">IF(H10="SÍ","Completado",IF(H10="NO","Acción Pendiente",IF(H10="N/A","No Aplica","Revisión Pendiente")))</f>
        <v>Completado</v>
      </c>
      <c r="J10" s="266">
        <f t="shared" ref="J10:J11" si="8">IF(H10="SÍ",100%,IF(H10="N/A","",0%))</f>
        <v>1</v>
      </c>
      <c r="K10" s="262" t="s">
        <v>640</v>
      </c>
      <c r="L10" s="280" t="s">
        <v>641</v>
      </c>
      <c r="M10" s="262" t="str">
        <f t="shared" ref="M10:M11" si="9">IF(H10="SÍ","Mantener evidencia y monitorear",IF(H10="NO","Definir acción correctiva y adjuntar evidencia",IF(H10="N/A","Mantener justificación en archivo","Confirmar estado y evidencia")))</f>
        <v>Mantener evidencia y monitorear</v>
      </c>
      <c r="N10" s="9" t="s">
        <v>647</v>
      </c>
      <c r="O10" s="269"/>
    </row>
    <row r="11" ht="45.0" customHeight="1">
      <c r="A11" s="281">
        <v>7.0</v>
      </c>
      <c r="B11" s="282"/>
      <c r="C11" s="282"/>
      <c r="D11" s="283" t="s">
        <v>631</v>
      </c>
      <c r="E11" s="283" t="s">
        <v>648</v>
      </c>
      <c r="F11" s="283" t="s">
        <v>171</v>
      </c>
      <c r="G11" s="283" t="s">
        <v>636</v>
      </c>
      <c r="H11" s="284" t="s">
        <v>580</v>
      </c>
      <c r="I11" s="284" t="str">
        <f t="shared" si="7"/>
        <v>Completado</v>
      </c>
      <c r="J11" s="285">
        <f t="shared" si="8"/>
        <v>1</v>
      </c>
      <c r="K11" s="283" t="s">
        <v>651</v>
      </c>
      <c r="L11" s="287" t="s">
        <v>652</v>
      </c>
      <c r="M11" s="283" t="str">
        <f t="shared" si="9"/>
        <v>Mantener evidencia y monitorear</v>
      </c>
      <c r="N11" s="288" t="s">
        <v>653</v>
      </c>
      <c r="O11" s="289"/>
    </row>
    <row r="12" ht="45.0" customHeight="1">
      <c r="A12" s="290"/>
      <c r="B12" s="291" t="s">
        <v>655</v>
      </c>
      <c r="C12" s="291" t="s">
        <v>656</v>
      </c>
      <c r="D12" s="253" t="s">
        <v>566</v>
      </c>
      <c r="E12" s="255"/>
      <c r="F12" s="255"/>
      <c r="G12" s="255"/>
      <c r="H12" s="255"/>
      <c r="I12" s="255"/>
      <c r="J12" s="255"/>
      <c r="K12" s="255"/>
      <c r="L12" s="256" t="s">
        <v>658</v>
      </c>
      <c r="M12" s="257"/>
      <c r="N12" s="258" t="s">
        <v>572</v>
      </c>
      <c r="O12" s="259"/>
    </row>
    <row r="13" ht="45.0" customHeight="1">
      <c r="A13" s="292">
        <v>8.0</v>
      </c>
      <c r="D13" s="262" t="s">
        <v>574</v>
      </c>
      <c r="E13" s="262" t="s">
        <v>659</v>
      </c>
      <c r="F13" s="262" t="s">
        <v>576</v>
      </c>
      <c r="G13" s="262" t="s">
        <v>643</v>
      </c>
      <c r="H13" s="264" t="s">
        <v>580</v>
      </c>
      <c r="I13" s="264" t="str">
        <f t="shared" ref="I13:I14" si="10">IF(H13="SÍ","Completado",IF(H13="NO","Acción Pendiente",IF(H13="N/A","No Aplica","Revisión Pendiente")))</f>
        <v>Completado</v>
      </c>
      <c r="J13" s="266">
        <f t="shared" ref="J13:J14" si="11">IF(H13="SÍ",100%,IF(H13="N/A","",0%))</f>
        <v>1</v>
      </c>
      <c r="K13" s="262"/>
      <c r="L13" s="262" t="s">
        <v>661</v>
      </c>
      <c r="M13" s="262" t="str">
        <f t="shared" ref="M13:M14" si="12">IF(H13="SÍ","Mantener evidencia y monitorear",IF(H13="NO","Definir acción correctiva y adjuntar evidencia",IF(H13="N/A","Mantener justificación en archivo","Confirmar estado y evidencia")))</f>
        <v>Mantener evidencia y monitorear</v>
      </c>
      <c r="N13" s="9" t="s">
        <v>572</v>
      </c>
      <c r="O13" s="269"/>
    </row>
    <row r="14" ht="45.0" customHeight="1">
      <c r="A14" s="292">
        <v>9.0</v>
      </c>
      <c r="D14" s="262" t="s">
        <v>574</v>
      </c>
      <c r="E14" s="262" t="s">
        <v>601</v>
      </c>
      <c r="F14" s="262" t="s">
        <v>603</v>
      </c>
      <c r="G14" s="262" t="s">
        <v>643</v>
      </c>
      <c r="H14" s="264" t="s">
        <v>580</v>
      </c>
      <c r="I14" s="264" t="str">
        <f t="shared" si="10"/>
        <v>Completado</v>
      </c>
      <c r="J14" s="266">
        <f t="shared" si="11"/>
        <v>1</v>
      </c>
      <c r="K14" s="262"/>
      <c r="L14" s="262" t="s">
        <v>661</v>
      </c>
      <c r="M14" s="262" t="str">
        <f t="shared" si="12"/>
        <v>Mantener evidencia y monitorear</v>
      </c>
      <c r="N14" s="9" t="s">
        <v>572</v>
      </c>
      <c r="O14" s="269"/>
    </row>
    <row r="15" ht="45.0" customHeight="1">
      <c r="A15" s="292"/>
      <c r="D15" s="271" t="s">
        <v>665</v>
      </c>
      <c r="L15" s="293" t="s">
        <v>666</v>
      </c>
      <c r="M15" s="273"/>
      <c r="N15" s="294"/>
      <c r="O15" s="275"/>
    </row>
    <row r="16" ht="45.0" customHeight="1">
      <c r="A16" s="292">
        <v>10.0</v>
      </c>
      <c r="D16" s="262" t="s">
        <v>669</v>
      </c>
      <c r="E16" s="262" t="s">
        <v>670</v>
      </c>
      <c r="F16" s="262" t="s">
        <v>613</v>
      </c>
      <c r="G16" s="262" t="s">
        <v>643</v>
      </c>
      <c r="H16" s="264" t="s">
        <v>580</v>
      </c>
      <c r="I16" s="264" t="str">
        <f t="shared" ref="I16:I17" si="13">IF(H16="SÍ","Completado",IF(H16="NO","Acción Pendiente",IF(H16="N/A","No Aplica","Revisión Pendiente")))</f>
        <v>Completado</v>
      </c>
      <c r="J16" s="266">
        <f t="shared" ref="J16:J17" si="14">IF(H16="SÍ",100%,IF(H16="N/A","",0%))</f>
        <v>1</v>
      </c>
      <c r="K16" s="262" t="s">
        <v>673</v>
      </c>
      <c r="L16" s="262" t="s">
        <v>674</v>
      </c>
      <c r="M16" s="262" t="str">
        <f t="shared" ref="M16:M17" si="15">IF(H16="SÍ","Mantener evidencia y monitorear",IF(H16="NO","Definir acción correctiva y adjuntar evidencia",IF(H16="N/A","Mantener justificación en archivo","Confirmar estado y evidencia")))</f>
        <v>Mantener evidencia y monitorear</v>
      </c>
      <c r="N16" s="9" t="s">
        <v>572</v>
      </c>
      <c r="O16" s="269"/>
    </row>
    <row r="17" ht="45.0" customHeight="1">
      <c r="A17" s="292">
        <v>11.0</v>
      </c>
      <c r="D17" s="262" t="s">
        <v>669</v>
      </c>
      <c r="E17" s="262" t="s">
        <v>675</v>
      </c>
      <c r="F17" s="262" t="s">
        <v>576</v>
      </c>
      <c r="G17" s="262" t="s">
        <v>643</v>
      </c>
      <c r="H17" s="264" t="s">
        <v>580</v>
      </c>
      <c r="I17" s="264" t="str">
        <f t="shared" si="13"/>
        <v>Completado</v>
      </c>
      <c r="J17" s="266">
        <f t="shared" si="14"/>
        <v>1</v>
      </c>
      <c r="K17" s="262"/>
      <c r="L17" s="262" t="s">
        <v>677</v>
      </c>
      <c r="M17" s="262" t="str">
        <f t="shared" si="15"/>
        <v>Mantener evidencia y monitorear</v>
      </c>
      <c r="N17" s="9" t="s">
        <v>572</v>
      </c>
      <c r="O17" s="269"/>
    </row>
    <row r="18" ht="45.0" customHeight="1">
      <c r="A18" s="292"/>
      <c r="D18" s="271" t="s">
        <v>628</v>
      </c>
      <c r="L18" s="279" t="s">
        <v>679</v>
      </c>
      <c r="M18" s="273"/>
      <c r="N18" s="274" t="s">
        <v>572</v>
      </c>
      <c r="O18" s="275"/>
    </row>
    <row r="19" ht="45.0" customHeight="1">
      <c r="A19" s="292">
        <v>12.0</v>
      </c>
      <c r="D19" s="262" t="s">
        <v>631</v>
      </c>
      <c r="E19" s="262" t="s">
        <v>680</v>
      </c>
      <c r="F19" s="262" t="s">
        <v>634</v>
      </c>
      <c r="G19" s="262" t="s">
        <v>636</v>
      </c>
      <c r="H19" s="264" t="s">
        <v>580</v>
      </c>
      <c r="I19" s="264" t="str">
        <f t="shared" ref="I19:I20" si="16">IF(H19="SÍ","Completado",IF(H19="NO","Acción Pendiente",IF(H19="N/A","No Aplica","Revisión Pendiente")))</f>
        <v>Completado</v>
      </c>
      <c r="J19" s="266">
        <f t="shared" ref="J19:J20" si="17">IF(H19="SÍ",100%,IF(H19="N/A","",0%))</f>
        <v>1</v>
      </c>
      <c r="K19" s="262" t="s">
        <v>640</v>
      </c>
      <c r="L19" s="280" t="s">
        <v>641</v>
      </c>
      <c r="M19" s="262" t="str">
        <f t="shared" ref="M19:M20" si="18">IF(H19="SÍ","Mantener evidencia y monitorear",IF(H19="NO","Definir acción correctiva y adjuntar evidencia",IF(H19="N/A","Mantener justificación en archivo","Confirmar estado y evidencia")))</f>
        <v>Mantener evidencia y monitorear</v>
      </c>
      <c r="N19" s="9" t="s">
        <v>647</v>
      </c>
      <c r="O19" s="269"/>
    </row>
    <row r="20" ht="45.0" customHeight="1">
      <c r="A20" s="296">
        <v>13.0</v>
      </c>
      <c r="B20" s="282"/>
      <c r="C20" s="282"/>
      <c r="D20" s="283" t="s">
        <v>631</v>
      </c>
      <c r="E20" s="283" t="s">
        <v>683</v>
      </c>
      <c r="F20" s="283" t="s">
        <v>684</v>
      </c>
      <c r="G20" s="283" t="s">
        <v>636</v>
      </c>
      <c r="H20" s="284" t="s">
        <v>580</v>
      </c>
      <c r="I20" s="284" t="str">
        <f t="shared" si="16"/>
        <v>Completado</v>
      </c>
      <c r="J20" s="285">
        <f t="shared" si="17"/>
        <v>1</v>
      </c>
      <c r="K20" s="283" t="s">
        <v>687</v>
      </c>
      <c r="L20" s="287" t="s">
        <v>652</v>
      </c>
      <c r="M20" s="283" t="str">
        <f t="shared" si="18"/>
        <v>Mantener evidencia y monitorear</v>
      </c>
      <c r="N20" s="288" t="s">
        <v>653</v>
      </c>
      <c r="O20" s="289"/>
    </row>
    <row r="21" ht="45.0" customHeight="1">
      <c r="A21" s="297"/>
      <c r="B21" s="298" t="s">
        <v>688</v>
      </c>
      <c r="C21" s="298" t="s">
        <v>689</v>
      </c>
      <c r="D21" s="253" t="s">
        <v>690</v>
      </c>
      <c r="E21" s="255"/>
      <c r="F21" s="255"/>
      <c r="G21" s="255"/>
      <c r="H21" s="255"/>
      <c r="I21" s="255"/>
      <c r="J21" s="255"/>
      <c r="K21" s="255"/>
      <c r="L21" s="256" t="s">
        <v>692</v>
      </c>
      <c r="M21" s="257"/>
      <c r="N21" s="258" t="s">
        <v>572</v>
      </c>
      <c r="O21" s="259"/>
    </row>
    <row r="22" ht="45.0" customHeight="1">
      <c r="A22" s="299">
        <v>14.0</v>
      </c>
      <c r="D22" s="262" t="s">
        <v>694</v>
      </c>
      <c r="E22" s="262" t="s">
        <v>695</v>
      </c>
      <c r="F22" s="262" t="s">
        <v>576</v>
      </c>
      <c r="G22" s="262" t="s">
        <v>577</v>
      </c>
      <c r="H22" s="264" t="s">
        <v>580</v>
      </c>
      <c r="I22" s="264" t="str">
        <f t="shared" ref="I22:I23" si="19">IF(H22="SÍ","Completado",IF(H22="NO","Acción Pendiente",IF(H22="N/A","No Aplica","Revisión Pendiente")))</f>
        <v>Completado</v>
      </c>
      <c r="J22" s="266">
        <f t="shared" ref="J22:J23" si="20">IF(H22="SÍ",100%,IF(H22="N/A","",0%))</f>
        <v>1</v>
      </c>
      <c r="K22" s="262"/>
      <c r="L22" s="262" t="s">
        <v>697</v>
      </c>
      <c r="M22" s="262" t="str">
        <f t="shared" ref="M22:M23" si="21">IF(H22="SÍ","Mantener evidencia y monitorear",IF(H22="NO","Definir acción correctiva y adjuntar evidencia",IF(H22="N/A","Mantener justificación en archivo","Confirmar estado y evidencia")))</f>
        <v>Mantener evidencia y monitorear</v>
      </c>
      <c r="N22" s="9" t="s">
        <v>572</v>
      </c>
      <c r="O22" s="269"/>
    </row>
    <row r="23" ht="45.0" customHeight="1">
      <c r="A23" s="299">
        <v>15.0</v>
      </c>
      <c r="D23" s="262" t="s">
        <v>694</v>
      </c>
      <c r="E23" s="262" t="s">
        <v>699</v>
      </c>
      <c r="F23" s="262" t="s">
        <v>576</v>
      </c>
      <c r="G23" s="262" t="s">
        <v>577</v>
      </c>
      <c r="H23" s="264" t="s">
        <v>580</v>
      </c>
      <c r="I23" s="264" t="str">
        <f t="shared" si="19"/>
        <v>Completado</v>
      </c>
      <c r="J23" s="266">
        <f t="shared" si="20"/>
        <v>1</v>
      </c>
      <c r="K23" s="262"/>
      <c r="L23" s="262" t="s">
        <v>702</v>
      </c>
      <c r="M23" s="262" t="str">
        <f t="shared" si="21"/>
        <v>Mantener evidencia y monitorear</v>
      </c>
      <c r="N23" s="9" t="s">
        <v>572</v>
      </c>
      <c r="O23" s="269"/>
    </row>
    <row r="24" ht="45.0" customHeight="1">
      <c r="A24" s="299"/>
      <c r="D24" s="271" t="s">
        <v>703</v>
      </c>
      <c r="L24" s="272" t="s">
        <v>704</v>
      </c>
      <c r="M24" s="273"/>
      <c r="N24" s="274" t="s">
        <v>572</v>
      </c>
      <c r="O24" s="275"/>
    </row>
    <row r="25" ht="45.0" customHeight="1">
      <c r="A25" s="299">
        <v>16.0</v>
      </c>
      <c r="D25" s="262" t="s">
        <v>705</v>
      </c>
      <c r="E25" s="262" t="s">
        <v>706</v>
      </c>
      <c r="F25" s="262" t="s">
        <v>576</v>
      </c>
      <c r="G25" s="262" t="s">
        <v>577</v>
      </c>
      <c r="H25" s="264" t="s">
        <v>580</v>
      </c>
      <c r="I25" s="264" t="str">
        <f t="shared" ref="I25:I26" si="22">IF(H25="SÍ","Completado",IF(H25="NO","Acción Pendiente",IF(H25="N/A","No Aplica","Revisión Pendiente")))</f>
        <v>Completado</v>
      </c>
      <c r="J25" s="266">
        <f t="shared" ref="J25:J26" si="23">IF(H25="SÍ",100%,IF(H25="N/A","",0%))</f>
        <v>1</v>
      </c>
      <c r="K25" s="262"/>
      <c r="L25" s="262" t="s">
        <v>708</v>
      </c>
      <c r="M25" s="262" t="str">
        <f t="shared" ref="M25:M26" si="24">IF(H25="SÍ","Mantener evidencia y monitorear",IF(H25="NO","Definir acción correctiva y adjuntar evidencia",IF(H25="N/A","Mantener justificación en archivo","Confirmar estado y evidencia")))</f>
        <v>Mantener evidencia y monitorear</v>
      </c>
      <c r="N25" s="9" t="s">
        <v>572</v>
      </c>
      <c r="O25" s="269"/>
    </row>
    <row r="26" ht="45.0" customHeight="1">
      <c r="A26" s="299">
        <v>17.0</v>
      </c>
      <c r="D26" s="262" t="s">
        <v>705</v>
      </c>
      <c r="E26" s="262" t="s">
        <v>710</v>
      </c>
      <c r="F26" s="262" t="s">
        <v>576</v>
      </c>
      <c r="G26" s="262" t="s">
        <v>577</v>
      </c>
      <c r="H26" s="264" t="s">
        <v>580</v>
      </c>
      <c r="I26" s="264" t="str">
        <f t="shared" si="22"/>
        <v>Completado</v>
      </c>
      <c r="J26" s="266">
        <f t="shared" si="23"/>
        <v>1</v>
      </c>
      <c r="K26" s="262"/>
      <c r="L26" s="262" t="s">
        <v>712</v>
      </c>
      <c r="M26" s="262" t="str">
        <f t="shared" si="24"/>
        <v>Mantener evidencia y monitorear</v>
      </c>
      <c r="N26" s="9" t="s">
        <v>572</v>
      </c>
      <c r="O26" s="269"/>
    </row>
    <row r="27" ht="45.0" customHeight="1">
      <c r="A27" s="299"/>
      <c r="D27" s="271" t="s">
        <v>713</v>
      </c>
      <c r="L27" s="272" t="s">
        <v>714</v>
      </c>
      <c r="M27" s="273"/>
      <c r="N27" s="274" t="s">
        <v>572</v>
      </c>
      <c r="O27" s="275"/>
    </row>
    <row r="28" ht="45.0" customHeight="1">
      <c r="A28" s="299">
        <v>18.0</v>
      </c>
      <c r="D28" s="262" t="s">
        <v>715</v>
      </c>
      <c r="E28" s="262" t="s">
        <v>717</v>
      </c>
      <c r="F28" s="262" t="s">
        <v>576</v>
      </c>
      <c r="G28" s="262" t="s">
        <v>718</v>
      </c>
      <c r="H28" s="277" t="s">
        <v>624</v>
      </c>
      <c r="I28" s="277" t="str">
        <f t="shared" ref="I28:I29" si="25">IF(H28="SÍ","Completado",IF(H28="NO","Acción Pendiente",IF(H28="N/A","No Aplica","Revisión Pendiente")))</f>
        <v>Acción Pendiente</v>
      </c>
      <c r="J28" s="266">
        <f t="shared" ref="J28:J29" si="26">IF(H28="SÍ",100%,IF(H28="N/A","",0%))</f>
        <v>0</v>
      </c>
      <c r="K28" s="262" t="s">
        <v>720</v>
      </c>
      <c r="L28" s="262"/>
      <c r="M28" s="262" t="str">
        <f t="shared" ref="M28:M29" si="27">IF(H28="SÍ","Mantener evidencia y monitorear",IF(H28="NO","Definir acción correctiva y adjuntar evidencia",IF(H28="N/A","Mantener justificación en archivo","Confirmar estado y evidencia")))</f>
        <v>Definir acción correctiva y adjuntar evidencia</v>
      </c>
      <c r="N28" s="2"/>
      <c r="O28" s="269"/>
    </row>
    <row r="29" ht="45.0" customHeight="1">
      <c r="A29" s="299">
        <v>19.0</v>
      </c>
      <c r="B29" s="282"/>
      <c r="C29" s="282"/>
      <c r="D29" s="262" t="s">
        <v>715</v>
      </c>
      <c r="E29" s="262" t="s">
        <v>723</v>
      </c>
      <c r="F29" s="262" t="s">
        <v>576</v>
      </c>
      <c r="G29" s="262" t="s">
        <v>718</v>
      </c>
      <c r="H29" s="277" t="s">
        <v>624</v>
      </c>
      <c r="I29" s="277" t="str">
        <f t="shared" si="25"/>
        <v>Acción Pendiente</v>
      </c>
      <c r="J29" s="266">
        <f t="shared" si="26"/>
        <v>0</v>
      </c>
      <c r="K29" s="262" t="s">
        <v>720</v>
      </c>
      <c r="L29" s="262"/>
      <c r="M29" s="262" t="str">
        <f t="shared" si="27"/>
        <v>Definir acción correctiva y adjuntar evidencia</v>
      </c>
      <c r="N29" s="2"/>
      <c r="O29" s="269"/>
    </row>
    <row r="30" ht="45.0" customHeight="1">
      <c r="A30" s="303"/>
      <c r="B30" s="304" t="s">
        <v>726</v>
      </c>
      <c r="C30" s="304" t="s">
        <v>727</v>
      </c>
      <c r="D30" s="253" t="s">
        <v>728</v>
      </c>
      <c r="E30" s="255"/>
      <c r="F30" s="255"/>
      <c r="G30" s="255"/>
      <c r="H30" s="255"/>
      <c r="I30" s="255"/>
      <c r="J30" s="255"/>
      <c r="K30" s="255"/>
      <c r="L30" s="305" t="s">
        <v>729</v>
      </c>
      <c r="M30" s="257"/>
      <c r="N30" s="258" t="s">
        <v>572</v>
      </c>
      <c r="O30" s="259"/>
    </row>
    <row r="31" ht="45.0" customHeight="1">
      <c r="A31" s="306">
        <v>20.0</v>
      </c>
      <c r="D31" s="262" t="s">
        <v>731</v>
      </c>
      <c r="E31" s="262" t="s">
        <v>732</v>
      </c>
      <c r="F31" s="262" t="s">
        <v>733</v>
      </c>
      <c r="G31" s="262" t="s">
        <v>718</v>
      </c>
      <c r="H31" s="264" t="s">
        <v>580</v>
      </c>
      <c r="I31" s="264" t="str">
        <f t="shared" ref="I31:I32" si="28">IF(H31="SÍ","Completado",IF(H31="NO","Acción Pendiente",IF(H31="N/A","No Aplica","Revisión Pendiente")))</f>
        <v>Completado</v>
      </c>
      <c r="J31" s="266">
        <f t="shared" ref="J31:J32" si="29">IF(H31="SÍ",100%,IF(H31="N/A","",0%))</f>
        <v>1</v>
      </c>
      <c r="K31" s="262" t="s">
        <v>735</v>
      </c>
      <c r="L31" s="280" t="s">
        <v>736</v>
      </c>
      <c r="M31" s="262" t="str">
        <f t="shared" ref="M31:M32" si="30">IF(H31="SÍ","Mantener evidencia y monitorear",IF(H31="NO","Definir acción correctiva y adjuntar evidencia",IF(H31="N/A","Mantener justificación en archivo","Confirmar estado y evidencia")))</f>
        <v>Mantener evidencia y monitorear</v>
      </c>
      <c r="N31" s="9" t="s">
        <v>653</v>
      </c>
      <c r="O31" s="269"/>
    </row>
    <row r="32" ht="45.0" customHeight="1">
      <c r="A32" s="306">
        <v>21.0</v>
      </c>
      <c r="D32" s="262" t="s">
        <v>731</v>
      </c>
      <c r="E32" s="262" t="s">
        <v>739</v>
      </c>
      <c r="F32" s="262" t="s">
        <v>733</v>
      </c>
      <c r="G32" s="262" t="s">
        <v>718</v>
      </c>
      <c r="H32" s="264" t="s">
        <v>580</v>
      </c>
      <c r="I32" s="264" t="str">
        <f t="shared" si="28"/>
        <v>Completado</v>
      </c>
      <c r="J32" s="266">
        <f t="shared" si="29"/>
        <v>1</v>
      </c>
      <c r="K32" s="262" t="s">
        <v>740</v>
      </c>
      <c r="L32" s="280" t="s">
        <v>741</v>
      </c>
      <c r="M32" s="262" t="str">
        <f t="shared" si="30"/>
        <v>Mantener evidencia y monitorear</v>
      </c>
      <c r="N32" s="9" t="s">
        <v>653</v>
      </c>
      <c r="O32" s="269"/>
    </row>
    <row r="33" ht="45.0" customHeight="1">
      <c r="A33" s="306"/>
      <c r="D33" s="271" t="s">
        <v>743</v>
      </c>
      <c r="L33" s="272" t="s">
        <v>744</v>
      </c>
      <c r="M33" s="273"/>
      <c r="N33" s="274" t="s">
        <v>572</v>
      </c>
      <c r="O33" s="275"/>
    </row>
    <row r="34" ht="45.0" customHeight="1">
      <c r="A34" s="306">
        <v>22.0</v>
      </c>
      <c r="D34" s="262" t="s">
        <v>746</v>
      </c>
      <c r="E34" s="262" t="s">
        <v>747</v>
      </c>
      <c r="F34" s="262" t="s">
        <v>733</v>
      </c>
      <c r="G34" s="262" t="s">
        <v>718</v>
      </c>
      <c r="H34" s="277" t="s">
        <v>624</v>
      </c>
      <c r="I34" s="277" t="str">
        <f t="shared" ref="I34:I35" si="31">IF(H34="SÍ","Completado",IF(H34="NO","Acción Pendiente",IF(H34="N/A","No Aplica","Revisión Pendiente")))</f>
        <v>Acción Pendiente</v>
      </c>
      <c r="J34" s="266">
        <f t="shared" ref="J34:J35" si="32">IF(H34="SÍ",100%,IF(H34="N/A","",0%))</f>
        <v>0</v>
      </c>
      <c r="K34" s="262"/>
      <c r="L34" s="262"/>
      <c r="M34" s="262" t="str">
        <f t="shared" ref="M34:M35" si="33">IF(H34="SÍ","Mantener evidencia y monitorear",IF(H34="NO","Definir acción correctiva y adjuntar evidencia",IF(H34="N/A","Mantener justificación en archivo","Confirmar estado y evidencia")))</f>
        <v>Definir acción correctiva y adjuntar evidencia</v>
      </c>
      <c r="N34" s="2"/>
      <c r="O34" s="269"/>
    </row>
    <row r="35" ht="45.0" customHeight="1">
      <c r="A35" s="306">
        <v>23.0</v>
      </c>
      <c r="D35" s="262" t="s">
        <v>746</v>
      </c>
      <c r="E35" s="262" t="s">
        <v>750</v>
      </c>
      <c r="F35" s="262" t="s">
        <v>733</v>
      </c>
      <c r="G35" s="262" t="s">
        <v>718</v>
      </c>
      <c r="H35" s="264" t="s">
        <v>580</v>
      </c>
      <c r="I35" s="264" t="str">
        <f t="shared" si="31"/>
        <v>Completado</v>
      </c>
      <c r="J35" s="266">
        <f t="shared" si="32"/>
        <v>1</v>
      </c>
      <c r="K35" s="262" t="s">
        <v>751</v>
      </c>
      <c r="L35" s="262"/>
      <c r="M35" s="262" t="str">
        <f t="shared" si="33"/>
        <v>Mantener evidencia y monitorear</v>
      </c>
      <c r="N35" s="9" t="s">
        <v>572</v>
      </c>
      <c r="O35" s="269"/>
    </row>
    <row r="36" ht="45.0" customHeight="1">
      <c r="A36" s="306"/>
      <c r="D36" s="271" t="s">
        <v>753</v>
      </c>
      <c r="L36" s="279" t="s">
        <v>754</v>
      </c>
      <c r="M36" s="273"/>
      <c r="N36" s="274" t="s">
        <v>572</v>
      </c>
      <c r="O36" s="275"/>
    </row>
    <row r="37" ht="45.0" customHeight="1">
      <c r="A37" s="306">
        <v>24.0</v>
      </c>
      <c r="D37" s="262" t="s">
        <v>755</v>
      </c>
      <c r="E37" s="262" t="s">
        <v>756</v>
      </c>
      <c r="F37" s="262" t="s">
        <v>733</v>
      </c>
      <c r="G37" s="262" t="s">
        <v>718</v>
      </c>
      <c r="H37" s="264" t="s">
        <v>580</v>
      </c>
      <c r="I37" s="264" t="str">
        <f t="shared" ref="I37:I38" si="34">IF(H37="SÍ","Completado",IF(H37="NO","Acción Pendiente",IF(H37="N/A","No Aplica","Revisión Pendiente")))</f>
        <v>Completado</v>
      </c>
      <c r="J37" s="266">
        <f t="shared" ref="J37:J38" si="35">IF(H37="SÍ",100%,IF(H37="N/A","",0%))</f>
        <v>1</v>
      </c>
      <c r="K37" s="262" t="s">
        <v>758</v>
      </c>
      <c r="L37" s="280" t="s">
        <v>759</v>
      </c>
      <c r="M37" s="262" t="str">
        <f t="shared" ref="M37:M38" si="36">IF(H37="SÍ","Mantener evidencia y monitorear",IF(H37="NO","Definir acción correctiva y adjuntar evidencia",IF(H37="N/A","Mantener justificación en archivo","Confirmar estado y evidencia")))</f>
        <v>Mantener evidencia y monitorear</v>
      </c>
      <c r="N37" s="9" t="s">
        <v>653</v>
      </c>
      <c r="O37" s="269"/>
    </row>
    <row r="38" ht="45.0" customHeight="1">
      <c r="A38" s="308">
        <v>25.0</v>
      </c>
      <c r="B38" s="282"/>
      <c r="C38" s="282"/>
      <c r="D38" s="283" t="s">
        <v>755</v>
      </c>
      <c r="E38" s="283" t="s">
        <v>763</v>
      </c>
      <c r="F38" s="283" t="s">
        <v>733</v>
      </c>
      <c r="G38" s="283" t="s">
        <v>718</v>
      </c>
      <c r="H38" s="310" t="s">
        <v>624</v>
      </c>
      <c r="I38" s="310" t="str">
        <f t="shared" si="34"/>
        <v>Acción Pendiente</v>
      </c>
      <c r="J38" s="285">
        <f t="shared" si="35"/>
        <v>0</v>
      </c>
      <c r="K38" s="283"/>
      <c r="L38" s="283"/>
      <c r="M38" s="283" t="str">
        <f t="shared" si="36"/>
        <v>Definir acción correctiva y adjuntar evidencia</v>
      </c>
      <c r="N38" s="312"/>
      <c r="O38" s="289"/>
    </row>
    <row r="39" ht="45.0" customHeight="1">
      <c r="A39" s="313"/>
      <c r="B39" s="314" t="s">
        <v>767</v>
      </c>
      <c r="C39" s="314" t="s">
        <v>768</v>
      </c>
      <c r="D39" s="253" t="s">
        <v>769</v>
      </c>
      <c r="E39" s="255"/>
      <c r="F39" s="255"/>
      <c r="G39" s="255"/>
      <c r="H39" s="255"/>
      <c r="I39" s="255"/>
      <c r="J39" s="255"/>
      <c r="K39" s="255"/>
      <c r="L39" s="256" t="s">
        <v>770</v>
      </c>
      <c r="M39" s="257"/>
      <c r="N39" s="258" t="s">
        <v>572</v>
      </c>
      <c r="O39" s="259"/>
    </row>
    <row r="40" ht="45.0" customHeight="1">
      <c r="A40" s="315">
        <v>26.0</v>
      </c>
      <c r="D40" s="262" t="s">
        <v>771</v>
      </c>
      <c r="E40" s="262" t="s">
        <v>772</v>
      </c>
      <c r="F40" s="262" t="s">
        <v>576</v>
      </c>
      <c r="G40" s="262" t="s">
        <v>773</v>
      </c>
      <c r="H40" s="264" t="s">
        <v>580</v>
      </c>
      <c r="I40" s="264" t="str">
        <f t="shared" ref="I40:I41" si="37">IF(H40="SÍ","Completado",IF(H40="NO","Acción Pendiente",IF(H40="N/A","No Aplica","Revisión Pendiente")))</f>
        <v>Completado</v>
      </c>
      <c r="J40" s="266">
        <f t="shared" ref="J40:J41" si="38">IF(H40="SÍ",100%,IF(H40="N/A","",0%))</f>
        <v>1</v>
      </c>
      <c r="K40" s="262"/>
      <c r="L40" s="262" t="s">
        <v>774</v>
      </c>
      <c r="M40" s="262" t="str">
        <f t="shared" ref="M40:M41" si="39">IF(H40="SÍ","Mantener evidencia y monitorear",IF(H40="NO","Definir acción correctiva y adjuntar evidencia",IF(H40="N/A","Mantener justificación en archivo","Confirmar estado y evidencia")))</f>
        <v>Mantener evidencia y monitorear</v>
      </c>
      <c r="N40" s="9" t="s">
        <v>572</v>
      </c>
      <c r="O40" s="269"/>
    </row>
    <row r="41" ht="45.0" customHeight="1">
      <c r="A41" s="315">
        <v>27.0</v>
      </c>
      <c r="D41" s="262" t="s">
        <v>771</v>
      </c>
      <c r="E41" s="262" t="s">
        <v>776</v>
      </c>
      <c r="F41" s="262" t="s">
        <v>576</v>
      </c>
      <c r="G41" s="262" t="s">
        <v>773</v>
      </c>
      <c r="H41" s="264" t="s">
        <v>580</v>
      </c>
      <c r="I41" s="264" t="str">
        <f t="shared" si="37"/>
        <v>Completado</v>
      </c>
      <c r="J41" s="266">
        <f t="shared" si="38"/>
        <v>1</v>
      </c>
      <c r="K41" s="262"/>
      <c r="L41" s="262" t="s">
        <v>777</v>
      </c>
      <c r="M41" s="262" t="str">
        <f t="shared" si="39"/>
        <v>Mantener evidencia y monitorear</v>
      </c>
      <c r="N41" s="9" t="s">
        <v>572</v>
      </c>
      <c r="O41" s="269"/>
    </row>
    <row r="42" ht="45.0" customHeight="1">
      <c r="A42" s="315"/>
      <c r="D42" s="271" t="s">
        <v>779</v>
      </c>
      <c r="L42" s="279" t="s">
        <v>780</v>
      </c>
      <c r="M42" s="273"/>
      <c r="N42" s="274" t="s">
        <v>572</v>
      </c>
      <c r="O42" s="275"/>
    </row>
    <row r="43" ht="66.0" customHeight="1">
      <c r="A43" s="315">
        <v>28.0</v>
      </c>
      <c r="D43" s="262" t="s">
        <v>782</v>
      </c>
      <c r="E43" s="262" t="s">
        <v>783</v>
      </c>
      <c r="F43" s="262" t="s">
        <v>380</v>
      </c>
      <c r="G43" s="262" t="s">
        <v>785</v>
      </c>
      <c r="H43" s="264" t="s">
        <v>580</v>
      </c>
      <c r="I43" s="264" t="str">
        <f t="shared" ref="I43:I44" si="40">IF(H43="SÍ","Completado",IF(H43="NO","Acción Pendiente",IF(H43="N/A","No Aplica","Revisión Pendiente")))</f>
        <v>Completado</v>
      </c>
      <c r="J43" s="266">
        <f t="shared" ref="J43:J44" si="41">IF(H43="SÍ",100%,IF(H43="N/A","",0%))</f>
        <v>1</v>
      </c>
      <c r="K43" s="262" t="s">
        <v>790</v>
      </c>
      <c r="L43" s="319" t="s">
        <v>791</v>
      </c>
      <c r="M43" s="262" t="str">
        <f t="shared" ref="M43:M44" si="42">IF(H43="SÍ","Mantener evidencia y monitorear",IF(H43="NO","Definir acción correctiva y adjuntar evidencia",IF(H43="N/A","Mantener justificación en archivo","Confirmar estado y evidencia")))</f>
        <v>Mantener evidencia y monitorear</v>
      </c>
      <c r="N43" s="9" t="s">
        <v>653</v>
      </c>
      <c r="O43" s="269"/>
    </row>
    <row r="44" ht="45.0" customHeight="1">
      <c r="A44" s="315">
        <v>29.0</v>
      </c>
      <c r="D44" s="262" t="s">
        <v>782</v>
      </c>
      <c r="E44" s="262" t="s">
        <v>795</v>
      </c>
      <c r="F44" s="262" t="s">
        <v>380</v>
      </c>
      <c r="G44" s="262" t="s">
        <v>785</v>
      </c>
      <c r="H44" s="264" t="s">
        <v>580</v>
      </c>
      <c r="I44" s="264" t="str">
        <f t="shared" si="40"/>
        <v>Completado</v>
      </c>
      <c r="J44" s="266">
        <f t="shared" si="41"/>
        <v>1</v>
      </c>
      <c r="K44" s="262" t="s">
        <v>797</v>
      </c>
      <c r="L44" s="320" t="s">
        <v>798</v>
      </c>
      <c r="M44" s="262" t="str">
        <f t="shared" si="42"/>
        <v>Mantener evidencia y monitorear</v>
      </c>
      <c r="N44" s="9" t="s">
        <v>653</v>
      </c>
      <c r="O44" s="269"/>
    </row>
    <row r="45" ht="45.0" customHeight="1">
      <c r="A45" s="315"/>
      <c r="D45" s="271" t="s">
        <v>799</v>
      </c>
      <c r="L45" s="272" t="s">
        <v>800</v>
      </c>
      <c r="M45" s="273"/>
      <c r="N45" s="274" t="s">
        <v>572</v>
      </c>
      <c r="O45" s="275"/>
    </row>
    <row r="46" ht="45.0" customHeight="1">
      <c r="A46" s="315">
        <v>30.0</v>
      </c>
      <c r="D46" s="262" t="s">
        <v>802</v>
      </c>
      <c r="E46" s="262" t="s">
        <v>803</v>
      </c>
      <c r="F46" s="262" t="s">
        <v>380</v>
      </c>
      <c r="G46" s="262" t="s">
        <v>785</v>
      </c>
      <c r="H46" s="264" t="s">
        <v>580</v>
      </c>
      <c r="I46" s="264" t="str">
        <f t="shared" ref="I46:I47" si="43">IF(H46="SÍ","Completado",IF(H46="NO","Acción Pendiente",IF(H46="N/A","No Aplica","Revisión Pendiente")))</f>
        <v>Completado</v>
      </c>
      <c r="J46" s="266">
        <f t="shared" ref="J46:J47" si="44">IF(H46="SÍ",100%,IF(H46="N/A","",0%))</f>
        <v>1</v>
      </c>
      <c r="K46" s="262" t="s">
        <v>805</v>
      </c>
      <c r="L46" s="320" t="s">
        <v>806</v>
      </c>
      <c r="M46" s="262" t="str">
        <f t="shared" ref="M46:M47" si="45">IF(H46="SÍ","Mantener evidencia y monitorear",IF(H46="NO","Definir acción correctiva y adjuntar evidencia",IF(H46="N/A","Mantener justificación en archivo","Confirmar estado y evidencia")))</f>
        <v>Mantener evidencia y monitorear</v>
      </c>
      <c r="N46" s="2"/>
      <c r="O46" s="269"/>
    </row>
    <row r="47" ht="45.0" customHeight="1">
      <c r="A47" s="322">
        <v>31.0</v>
      </c>
      <c r="B47" s="282"/>
      <c r="C47" s="282"/>
      <c r="D47" s="283" t="s">
        <v>802</v>
      </c>
      <c r="E47" s="283" t="s">
        <v>809</v>
      </c>
      <c r="F47" s="283" t="s">
        <v>380</v>
      </c>
      <c r="G47" s="283" t="s">
        <v>785</v>
      </c>
      <c r="H47" s="284" t="s">
        <v>580</v>
      </c>
      <c r="I47" s="284" t="str">
        <f t="shared" si="43"/>
        <v>Completado</v>
      </c>
      <c r="J47" s="285">
        <f t="shared" si="44"/>
        <v>1</v>
      </c>
      <c r="K47" s="283" t="s">
        <v>811</v>
      </c>
      <c r="L47" s="323" t="s">
        <v>812</v>
      </c>
      <c r="M47" s="283" t="str">
        <f t="shared" si="45"/>
        <v>Mantener evidencia y monitorear</v>
      </c>
      <c r="N47" s="312"/>
      <c r="O47" s="289"/>
    </row>
    <row r="48" ht="45.0" customHeight="1">
      <c r="A48" s="324"/>
      <c r="B48" s="325" t="s">
        <v>816</v>
      </c>
      <c r="C48" s="325" t="s">
        <v>817</v>
      </c>
      <c r="D48" s="253" t="s">
        <v>818</v>
      </c>
      <c r="E48" s="255"/>
      <c r="F48" s="255"/>
      <c r="G48" s="255"/>
      <c r="H48" s="255"/>
      <c r="I48" s="255"/>
      <c r="J48" s="255"/>
      <c r="K48" s="255"/>
      <c r="L48" s="256" t="s">
        <v>819</v>
      </c>
      <c r="M48" s="257"/>
      <c r="N48" s="258" t="s">
        <v>572</v>
      </c>
      <c r="O48" s="259"/>
    </row>
    <row r="49" ht="45.0" customHeight="1">
      <c r="A49" s="326">
        <v>32.0</v>
      </c>
      <c r="D49" s="262" t="s">
        <v>820</v>
      </c>
      <c r="E49" s="262" t="s">
        <v>821</v>
      </c>
      <c r="F49" s="262" t="s">
        <v>613</v>
      </c>
      <c r="G49" s="262" t="s">
        <v>636</v>
      </c>
      <c r="H49" s="264" t="s">
        <v>580</v>
      </c>
      <c r="I49" s="264" t="str">
        <f t="shared" ref="I49:I50" si="46">IF(H49="SÍ","Completado",IF(H49="NO","Acción Pendiente",IF(H49="N/A","No Aplica","Revisión Pendiente")))</f>
        <v>Completado</v>
      </c>
      <c r="J49" s="266">
        <f t="shared" ref="J49:J50" si="47">IF(H49="SÍ",100%,IF(H49="N/A","",0%))</f>
        <v>1</v>
      </c>
      <c r="K49" s="262" t="s">
        <v>823</v>
      </c>
      <c r="L49" s="262" t="s">
        <v>824</v>
      </c>
      <c r="M49" s="262" t="str">
        <f t="shared" ref="M49:M50" si="48">IF(H49="SÍ","Mantener evidencia y monitorear",IF(H49="NO","Definir acción correctiva y adjuntar evidencia",IF(H49="N/A","Mantener justificación en archivo","Confirmar estado y evidencia")))</f>
        <v>Mantener evidencia y monitorear</v>
      </c>
      <c r="N49" s="9" t="s">
        <v>572</v>
      </c>
      <c r="O49" s="269"/>
    </row>
    <row r="50" ht="45.0" customHeight="1">
      <c r="A50" s="326">
        <v>33.0</v>
      </c>
      <c r="D50" s="262" t="s">
        <v>820</v>
      </c>
      <c r="E50" s="262" t="s">
        <v>828</v>
      </c>
      <c r="F50" s="262" t="s">
        <v>613</v>
      </c>
      <c r="G50" s="262" t="s">
        <v>636</v>
      </c>
      <c r="H50" s="264" t="s">
        <v>580</v>
      </c>
      <c r="I50" s="264" t="str">
        <f t="shared" si="46"/>
        <v>Completado</v>
      </c>
      <c r="J50" s="266">
        <f t="shared" si="47"/>
        <v>1</v>
      </c>
      <c r="K50" s="262" t="s">
        <v>823</v>
      </c>
      <c r="L50" s="262" t="s">
        <v>824</v>
      </c>
      <c r="M50" s="262" t="str">
        <f t="shared" si="48"/>
        <v>Mantener evidencia y monitorear</v>
      </c>
      <c r="N50" s="9" t="s">
        <v>572</v>
      </c>
      <c r="O50" s="269"/>
    </row>
    <row r="51" ht="45.0" customHeight="1">
      <c r="A51" s="326"/>
      <c r="D51" s="271" t="s">
        <v>831</v>
      </c>
      <c r="L51" s="272" t="s">
        <v>832</v>
      </c>
      <c r="M51" s="273"/>
      <c r="N51" s="274" t="s">
        <v>572</v>
      </c>
      <c r="O51" s="275"/>
    </row>
    <row r="52" ht="45.0" customHeight="1">
      <c r="A52" s="326">
        <v>34.0</v>
      </c>
      <c r="D52" s="262" t="s">
        <v>834</v>
      </c>
      <c r="E52" s="262" t="s">
        <v>835</v>
      </c>
      <c r="F52" s="262" t="s">
        <v>613</v>
      </c>
      <c r="G52" s="262" t="s">
        <v>636</v>
      </c>
      <c r="H52" s="264" t="s">
        <v>580</v>
      </c>
      <c r="I52" s="264" t="str">
        <f t="shared" ref="I52:I53" si="49">IF(H52="SÍ","Completado",IF(H52="NO","Acción Pendiente",IF(H52="N/A","No Aplica","Revisión Pendiente")))</f>
        <v>Completado</v>
      </c>
      <c r="J52" s="266">
        <f t="shared" ref="J52:J53" si="50">IF(H52="SÍ",100%,IF(H52="N/A","",0%))</f>
        <v>1</v>
      </c>
      <c r="K52" s="262"/>
      <c r="L52" s="262"/>
      <c r="M52" s="262" t="str">
        <f t="shared" ref="M52:M53" si="51">IF(H52="SÍ","Mantener evidencia y monitorear",IF(H52="NO","Definir acción correctiva y adjuntar evidencia",IF(H52="N/A","Mantener justificación en archivo","Confirmar estado y evidencia")))</f>
        <v>Mantener evidencia y monitorear</v>
      </c>
      <c r="N52" s="2"/>
      <c r="O52" s="269"/>
    </row>
    <row r="53" ht="45.0" customHeight="1">
      <c r="A53" s="326">
        <v>35.0</v>
      </c>
      <c r="D53" s="262" t="s">
        <v>834</v>
      </c>
      <c r="E53" s="262" t="s">
        <v>839</v>
      </c>
      <c r="F53" s="262" t="s">
        <v>613</v>
      </c>
      <c r="G53" s="262" t="s">
        <v>636</v>
      </c>
      <c r="H53" s="264" t="s">
        <v>580</v>
      </c>
      <c r="I53" s="264" t="str">
        <f t="shared" si="49"/>
        <v>Completado</v>
      </c>
      <c r="J53" s="266">
        <f t="shared" si="50"/>
        <v>1</v>
      </c>
      <c r="K53" s="262"/>
      <c r="L53" s="262"/>
      <c r="M53" s="262" t="str">
        <f t="shared" si="51"/>
        <v>Mantener evidencia y monitorear</v>
      </c>
      <c r="N53" s="2"/>
      <c r="O53" s="269"/>
    </row>
    <row r="54" ht="45.0" customHeight="1">
      <c r="A54" s="326"/>
      <c r="D54" s="271" t="s">
        <v>842</v>
      </c>
      <c r="L54" s="272" t="s">
        <v>843</v>
      </c>
      <c r="M54" s="273"/>
      <c r="N54" s="274" t="s">
        <v>572</v>
      </c>
      <c r="O54" s="275"/>
    </row>
    <row r="55" ht="45.0" customHeight="1">
      <c r="A55" s="326">
        <v>36.0</v>
      </c>
      <c r="D55" s="262" t="s">
        <v>845</v>
      </c>
      <c r="E55" s="262" t="s">
        <v>846</v>
      </c>
      <c r="F55" s="262" t="s">
        <v>576</v>
      </c>
      <c r="G55" s="262" t="s">
        <v>636</v>
      </c>
      <c r="H55" s="264" t="s">
        <v>580</v>
      </c>
      <c r="I55" s="264" t="str">
        <f t="shared" ref="I55:I56" si="52">IF(H55="SÍ","Completado",IF(H55="NO","Acción Pendiente",IF(H55="N/A","No Aplica","Revisión Pendiente")))</f>
        <v>Completado</v>
      </c>
      <c r="J55" s="266">
        <f t="shared" ref="J55:J56" si="53">IF(H55="SÍ",100%,IF(H55="N/A","",0%))</f>
        <v>1</v>
      </c>
      <c r="K55" s="262"/>
      <c r="L55" s="262" t="s">
        <v>848</v>
      </c>
      <c r="M55" s="262" t="str">
        <f t="shared" ref="M55:M56" si="54">IF(H55="SÍ","Mantener evidencia y monitorear",IF(H55="NO","Definir acción correctiva y adjuntar evidencia",IF(H55="N/A","Mantener justificación en archivo","Confirmar estado y evidencia")))</f>
        <v>Mantener evidencia y monitorear</v>
      </c>
      <c r="N55" s="2"/>
      <c r="O55" s="269"/>
    </row>
    <row r="56" ht="45.0" customHeight="1">
      <c r="A56" s="326">
        <v>37.0</v>
      </c>
      <c r="B56" s="282"/>
      <c r="C56" s="282"/>
      <c r="D56" s="262" t="s">
        <v>845</v>
      </c>
      <c r="E56" s="262" t="s">
        <v>850</v>
      </c>
      <c r="F56" s="262" t="s">
        <v>576</v>
      </c>
      <c r="G56" s="262" t="s">
        <v>636</v>
      </c>
      <c r="H56" s="264" t="s">
        <v>580</v>
      </c>
      <c r="I56" s="264" t="str">
        <f t="shared" si="52"/>
        <v>Completado</v>
      </c>
      <c r="J56" s="266">
        <f t="shared" si="53"/>
        <v>1</v>
      </c>
      <c r="K56" s="262"/>
      <c r="L56" s="262" t="s">
        <v>848</v>
      </c>
      <c r="M56" s="262" t="str">
        <f t="shared" si="54"/>
        <v>Mantener evidencia y monitorear</v>
      </c>
      <c r="N56" s="2"/>
      <c r="O56" s="269"/>
    </row>
    <row r="57" ht="45.0" customHeight="1">
      <c r="A57" s="329"/>
      <c r="B57" s="330" t="s">
        <v>852</v>
      </c>
      <c r="C57" s="330" t="s">
        <v>854</v>
      </c>
      <c r="D57" s="253" t="s">
        <v>855</v>
      </c>
      <c r="E57" s="255"/>
      <c r="F57" s="255"/>
      <c r="G57" s="255"/>
      <c r="H57" s="255"/>
      <c r="I57" s="255"/>
      <c r="J57" s="255"/>
      <c r="K57" s="255"/>
      <c r="L57" s="256" t="s">
        <v>857</v>
      </c>
      <c r="M57" s="257"/>
      <c r="N57" s="258" t="s">
        <v>572</v>
      </c>
      <c r="O57" s="259"/>
    </row>
    <row r="58" ht="45.0" customHeight="1">
      <c r="A58" s="332">
        <v>38.0</v>
      </c>
      <c r="D58" s="262" t="s">
        <v>860</v>
      </c>
      <c r="E58" s="262" t="s">
        <v>861</v>
      </c>
      <c r="F58" s="262" t="s">
        <v>576</v>
      </c>
      <c r="G58" s="262" t="s">
        <v>577</v>
      </c>
      <c r="H58" s="264" t="s">
        <v>580</v>
      </c>
      <c r="I58" s="264" t="str">
        <f t="shared" ref="I58:I59" si="55">IF(H58="SÍ","Completado",IF(H58="NO","Acción Pendiente",IF(H58="N/A","No Aplica","Revisión Pendiente")))</f>
        <v>Completado</v>
      </c>
      <c r="J58" s="266">
        <f t="shared" ref="J58:J59" si="56">IF(H58="SÍ",100%,IF(H58="N/A","",0%))</f>
        <v>1</v>
      </c>
      <c r="K58" s="262"/>
      <c r="L58" s="262" t="s">
        <v>864</v>
      </c>
      <c r="M58" s="262" t="str">
        <f t="shared" ref="M58:M59" si="57">IF(H58="SÍ","Mantener evidencia y monitorear",IF(H58="NO","Definir acción correctiva y adjuntar evidencia",IF(H58="N/A","Mantener justificación en archivo","Confirmar estado y evidencia")))</f>
        <v>Mantener evidencia y monitorear</v>
      </c>
      <c r="N58" s="2"/>
      <c r="O58" s="269"/>
    </row>
    <row r="59" ht="45.0" customHeight="1">
      <c r="A59" s="332">
        <v>39.0</v>
      </c>
      <c r="D59" s="262" t="s">
        <v>860</v>
      </c>
      <c r="E59" s="262" t="s">
        <v>867</v>
      </c>
      <c r="F59" s="262" t="s">
        <v>576</v>
      </c>
      <c r="G59" s="262" t="s">
        <v>577</v>
      </c>
      <c r="H59" s="264" t="s">
        <v>580</v>
      </c>
      <c r="I59" s="264" t="str">
        <f t="shared" si="55"/>
        <v>Completado</v>
      </c>
      <c r="J59" s="266">
        <f t="shared" si="56"/>
        <v>1</v>
      </c>
      <c r="K59" s="262"/>
      <c r="L59" s="262" t="s">
        <v>864</v>
      </c>
      <c r="M59" s="262" t="str">
        <f t="shared" si="57"/>
        <v>Mantener evidencia y monitorear</v>
      </c>
      <c r="N59" s="2"/>
      <c r="O59" s="269"/>
    </row>
    <row r="60" ht="45.0" customHeight="1">
      <c r="A60" s="332"/>
      <c r="D60" s="271" t="s">
        <v>869</v>
      </c>
      <c r="L60" s="272" t="s">
        <v>871</v>
      </c>
      <c r="M60" s="273"/>
      <c r="N60" s="274" t="s">
        <v>572</v>
      </c>
      <c r="O60" s="275"/>
    </row>
    <row r="61" ht="45.0" customHeight="1">
      <c r="A61" s="332">
        <v>40.0</v>
      </c>
      <c r="D61" s="262" t="s">
        <v>872</v>
      </c>
      <c r="E61" s="262" t="s">
        <v>873</v>
      </c>
      <c r="F61" s="262" t="s">
        <v>576</v>
      </c>
      <c r="G61" s="262" t="s">
        <v>577</v>
      </c>
      <c r="H61" s="264" t="s">
        <v>580</v>
      </c>
      <c r="I61" s="264" t="str">
        <f t="shared" ref="I61:I62" si="58">IF(H61="SÍ","Completado",IF(H61="NO","Acción Pendiente",IF(H61="N/A","No Aplica","Revisión Pendiente")))</f>
        <v>Completado</v>
      </c>
      <c r="J61" s="266">
        <f t="shared" ref="J61:J62" si="59">IF(H61="SÍ",100%,IF(H61="N/A","",0%))</f>
        <v>1</v>
      </c>
      <c r="K61" s="262"/>
      <c r="L61" s="262" t="s">
        <v>875</v>
      </c>
      <c r="M61" s="262" t="str">
        <f t="shared" ref="M61:M62" si="60">IF(H61="SÍ","Mantener evidencia y monitorear",IF(H61="NO","Definir acción correctiva y adjuntar evidencia",IF(H61="N/A","Mantener justificación en archivo","Confirmar estado y evidencia")))</f>
        <v>Mantener evidencia y monitorear</v>
      </c>
      <c r="N61" s="2"/>
      <c r="O61" s="269"/>
    </row>
    <row r="62" ht="45.0" customHeight="1">
      <c r="A62" s="332">
        <v>41.0</v>
      </c>
      <c r="D62" s="262" t="s">
        <v>872</v>
      </c>
      <c r="E62" s="262" t="s">
        <v>878</v>
      </c>
      <c r="F62" s="262" t="s">
        <v>576</v>
      </c>
      <c r="G62" s="262" t="s">
        <v>577</v>
      </c>
      <c r="H62" s="277" t="s">
        <v>624</v>
      </c>
      <c r="I62" s="277" t="str">
        <f t="shared" si="58"/>
        <v>Acción Pendiente</v>
      </c>
      <c r="J62" s="266">
        <f t="shared" si="59"/>
        <v>0</v>
      </c>
      <c r="K62" s="262" t="s">
        <v>720</v>
      </c>
      <c r="L62" s="262"/>
      <c r="M62" s="262" t="str">
        <f t="shared" si="60"/>
        <v>Definir acción correctiva y adjuntar evidencia</v>
      </c>
      <c r="N62" s="2"/>
      <c r="O62" s="269"/>
    </row>
    <row r="63" ht="45.0" customHeight="1">
      <c r="A63" s="332"/>
      <c r="D63" s="271" t="s">
        <v>880</v>
      </c>
      <c r="L63" s="272" t="s">
        <v>881</v>
      </c>
      <c r="M63" s="273"/>
      <c r="N63" s="274" t="s">
        <v>572</v>
      </c>
      <c r="O63" s="275"/>
    </row>
    <row r="64" ht="45.0" customHeight="1">
      <c r="A64" s="332">
        <v>42.0</v>
      </c>
      <c r="D64" s="262" t="s">
        <v>882</v>
      </c>
      <c r="E64" s="262" t="s">
        <v>883</v>
      </c>
      <c r="F64" s="262" t="s">
        <v>576</v>
      </c>
      <c r="G64" s="262" t="s">
        <v>577</v>
      </c>
      <c r="H64" s="264" t="s">
        <v>580</v>
      </c>
      <c r="I64" s="264" t="str">
        <f t="shared" ref="I64:I65" si="61">IF(H64="SÍ","Completado",IF(H64="NO","Acción Pendiente",IF(H64="N/A","No Aplica","Revisión Pendiente")))</f>
        <v>Completado</v>
      </c>
      <c r="J64" s="266">
        <f t="shared" ref="J64:J65" si="62">IF(H64="SÍ",100%,IF(H64="N/A","",0%))</f>
        <v>1</v>
      </c>
      <c r="K64" s="262"/>
      <c r="L64" s="280" t="s">
        <v>885</v>
      </c>
      <c r="M64" s="262" t="str">
        <f t="shared" ref="M64:M65" si="63">IF(H64="SÍ","Mantener evidencia y monitorear",IF(H64="NO","Definir acción correctiva y adjuntar evidencia",IF(H64="N/A","Mantener justificación en archivo","Confirmar estado y evidencia")))</f>
        <v>Mantener evidencia y monitorear</v>
      </c>
      <c r="N64" s="2"/>
      <c r="O64" s="269"/>
    </row>
    <row r="65" ht="45.0" customHeight="1">
      <c r="A65" s="333">
        <v>43.0</v>
      </c>
      <c r="B65" s="282"/>
      <c r="C65" s="282"/>
      <c r="D65" s="283" t="s">
        <v>882</v>
      </c>
      <c r="E65" s="283" t="s">
        <v>890</v>
      </c>
      <c r="F65" s="283" t="s">
        <v>576</v>
      </c>
      <c r="G65" s="283" t="s">
        <v>577</v>
      </c>
      <c r="H65" s="310" t="s">
        <v>624</v>
      </c>
      <c r="I65" s="310" t="str">
        <f t="shared" si="61"/>
        <v>Acción Pendiente</v>
      </c>
      <c r="J65" s="285">
        <f t="shared" si="62"/>
        <v>0</v>
      </c>
      <c r="K65" s="283" t="s">
        <v>720</v>
      </c>
      <c r="L65" s="283"/>
      <c r="M65" s="283" t="str">
        <f t="shared" si="63"/>
        <v>Definir acción correctiva y adjuntar evidencia</v>
      </c>
      <c r="N65" s="312"/>
      <c r="O65" s="289"/>
    </row>
    <row r="66" ht="45.0" customHeight="1">
      <c r="A66" s="290"/>
      <c r="B66" s="291" t="s">
        <v>892</v>
      </c>
      <c r="C66" s="291" t="s">
        <v>893</v>
      </c>
      <c r="D66" s="253" t="s">
        <v>894</v>
      </c>
      <c r="E66" s="255"/>
      <c r="F66" s="255"/>
      <c r="G66" s="255"/>
      <c r="H66" s="255"/>
      <c r="I66" s="255"/>
      <c r="J66" s="255"/>
      <c r="K66" s="255"/>
      <c r="L66" s="256" t="s">
        <v>895</v>
      </c>
      <c r="M66" s="257"/>
      <c r="N66" s="258" t="s">
        <v>572</v>
      </c>
      <c r="O66" s="259"/>
    </row>
    <row r="67" ht="45.0" customHeight="1">
      <c r="A67" s="292">
        <v>44.0</v>
      </c>
      <c r="D67" s="262" t="s">
        <v>897</v>
      </c>
      <c r="E67" s="262" t="s">
        <v>898</v>
      </c>
      <c r="F67" s="262" t="s">
        <v>733</v>
      </c>
      <c r="G67" s="262" t="s">
        <v>718</v>
      </c>
      <c r="H67" s="264" t="s">
        <v>580</v>
      </c>
      <c r="I67" s="264" t="str">
        <f t="shared" ref="I67:I69" si="64">IF(H67="SÍ","Completado",IF(H67="NO","Acción Pendiente",IF(H67="N/A","No Aplica","Revisión Pendiente")))</f>
        <v>Completado</v>
      </c>
      <c r="J67" s="266">
        <f t="shared" ref="J67:J69" si="65">IF(H67="SÍ",100%,IF(H67="N/A","",0%))</f>
        <v>1</v>
      </c>
      <c r="K67" s="262" t="s">
        <v>901</v>
      </c>
      <c r="L67" s="262" t="s">
        <v>902</v>
      </c>
      <c r="M67" s="262" t="str">
        <f t="shared" ref="M67:M69" si="66">IF(H67="SÍ","Mantener evidencia y monitorear",IF(H67="NO","Definir acción correctiva y adjuntar evidencia",IF(H67="N/A","Mantener justificación en archivo","Confirmar estado y evidencia")))</f>
        <v>Mantener evidencia y monitorear</v>
      </c>
      <c r="N67" s="2"/>
      <c r="O67" s="269"/>
    </row>
    <row r="68" ht="45.0" customHeight="1">
      <c r="A68" s="292">
        <v>45.0</v>
      </c>
      <c r="D68" s="262" t="s">
        <v>904</v>
      </c>
      <c r="E68" s="262" t="s">
        <v>905</v>
      </c>
      <c r="F68" s="262" t="s">
        <v>733</v>
      </c>
      <c r="G68" s="262" t="s">
        <v>718</v>
      </c>
      <c r="H68" s="264" t="s">
        <v>580</v>
      </c>
      <c r="I68" s="264" t="str">
        <f t="shared" si="64"/>
        <v>Completado</v>
      </c>
      <c r="J68" s="266">
        <f t="shared" si="65"/>
        <v>1</v>
      </c>
      <c r="K68" s="262"/>
      <c r="L68" s="262" t="s">
        <v>902</v>
      </c>
      <c r="M68" s="262" t="str">
        <f t="shared" si="66"/>
        <v>Mantener evidencia y monitorear</v>
      </c>
      <c r="N68" s="2"/>
      <c r="O68" s="269"/>
    </row>
    <row r="69" ht="45.0" customHeight="1">
      <c r="A69" s="292">
        <v>46.0</v>
      </c>
      <c r="D69" s="262" t="s">
        <v>904</v>
      </c>
      <c r="E69" s="262" t="s">
        <v>907</v>
      </c>
      <c r="F69" s="262" t="s">
        <v>733</v>
      </c>
      <c r="G69" s="262" t="s">
        <v>718</v>
      </c>
      <c r="H69" s="264" t="s">
        <v>580</v>
      </c>
      <c r="I69" s="264" t="str">
        <f t="shared" si="64"/>
        <v>Completado</v>
      </c>
      <c r="J69" s="266">
        <f t="shared" si="65"/>
        <v>1</v>
      </c>
      <c r="K69" s="262" t="s">
        <v>909</v>
      </c>
      <c r="L69" s="262" t="s">
        <v>911</v>
      </c>
      <c r="M69" s="262" t="str">
        <f t="shared" si="66"/>
        <v>Mantener evidencia y monitorear</v>
      </c>
      <c r="N69" s="2"/>
      <c r="O69" s="269"/>
    </row>
    <row r="70" ht="45.0" customHeight="1">
      <c r="A70" s="292"/>
      <c r="D70" s="271" t="s">
        <v>912</v>
      </c>
      <c r="L70" s="272" t="s">
        <v>913</v>
      </c>
      <c r="M70" s="273"/>
      <c r="N70" s="274" t="s">
        <v>572</v>
      </c>
      <c r="O70" s="275"/>
    </row>
    <row r="71" ht="45.0" customHeight="1">
      <c r="A71" s="292">
        <v>47.0</v>
      </c>
      <c r="D71" s="262" t="s">
        <v>916</v>
      </c>
      <c r="E71" s="262" t="s">
        <v>917</v>
      </c>
      <c r="F71" s="262" t="s">
        <v>733</v>
      </c>
      <c r="G71" s="262" t="s">
        <v>718</v>
      </c>
      <c r="H71" s="264" t="s">
        <v>580</v>
      </c>
      <c r="I71" s="264" t="str">
        <f t="shared" ref="I71:I73" si="67">IF(H71="SÍ","Completado",IF(H71="NO","Acción Pendiente",IF(H71="N/A","No Aplica","Revisión Pendiente")))</f>
        <v>Completado</v>
      </c>
      <c r="J71" s="266">
        <f t="shared" ref="J71:J73" si="68">IF(H71="SÍ",100%,IF(H71="N/A","",0%))</f>
        <v>1</v>
      </c>
      <c r="K71" s="262" t="s">
        <v>918</v>
      </c>
      <c r="L71" s="262" t="s">
        <v>919</v>
      </c>
      <c r="M71" s="262" t="str">
        <f t="shared" ref="M71:M73" si="69">IF(H71="SÍ","Mantener evidencia y monitorear",IF(H71="NO","Definir acción correctiva y adjuntar evidencia",IF(H71="N/A","Mantener justificación en archivo","Confirmar estado y evidencia")))</f>
        <v>Mantener evidencia y monitorear</v>
      </c>
      <c r="N71" s="2"/>
      <c r="O71" s="269"/>
    </row>
    <row r="72" ht="45.0" customHeight="1">
      <c r="A72" s="292">
        <v>48.0</v>
      </c>
      <c r="D72" s="262" t="s">
        <v>916</v>
      </c>
      <c r="E72" s="262" t="s">
        <v>921</v>
      </c>
      <c r="F72" s="262" t="s">
        <v>733</v>
      </c>
      <c r="G72" s="262" t="s">
        <v>718</v>
      </c>
      <c r="H72" s="277" t="s">
        <v>624</v>
      </c>
      <c r="I72" s="277" t="str">
        <f t="shared" si="67"/>
        <v>Acción Pendiente</v>
      </c>
      <c r="J72" s="266">
        <f t="shared" si="68"/>
        <v>0</v>
      </c>
      <c r="K72" s="262"/>
      <c r="L72" s="262" t="s">
        <v>922</v>
      </c>
      <c r="M72" s="262" t="str">
        <f t="shared" si="69"/>
        <v>Definir acción correctiva y adjuntar evidencia</v>
      </c>
      <c r="N72" s="2"/>
      <c r="O72" s="269"/>
    </row>
    <row r="73" ht="45.0" customHeight="1">
      <c r="A73" s="296">
        <v>49.0</v>
      </c>
      <c r="B73" s="282"/>
      <c r="C73" s="282"/>
      <c r="D73" s="283" t="s">
        <v>916</v>
      </c>
      <c r="E73" s="283" t="s">
        <v>924</v>
      </c>
      <c r="F73" s="283" t="s">
        <v>733</v>
      </c>
      <c r="G73" s="283" t="s">
        <v>718</v>
      </c>
      <c r="H73" s="284" t="s">
        <v>580</v>
      </c>
      <c r="I73" s="284" t="str">
        <f t="shared" si="67"/>
        <v>Completado</v>
      </c>
      <c r="J73" s="285">
        <f t="shared" si="68"/>
        <v>1</v>
      </c>
      <c r="K73" s="283" t="s">
        <v>925</v>
      </c>
      <c r="L73" s="283" t="s">
        <v>926</v>
      </c>
      <c r="M73" s="283" t="str">
        <f t="shared" si="69"/>
        <v>Mantener evidencia y monitorear</v>
      </c>
      <c r="N73" s="312"/>
      <c r="O73" s="289"/>
    </row>
    <row r="74" ht="45.0" customHeight="1">
      <c r="A74" s="248"/>
      <c r="B74" s="249" t="s">
        <v>928</v>
      </c>
      <c r="C74" s="249" t="s">
        <v>929</v>
      </c>
      <c r="D74" s="253" t="s">
        <v>930</v>
      </c>
      <c r="E74" s="255"/>
      <c r="F74" s="255"/>
      <c r="G74" s="255"/>
      <c r="H74" s="255"/>
      <c r="I74" s="255"/>
      <c r="J74" s="255"/>
      <c r="K74" s="255"/>
      <c r="L74" s="336" t="s">
        <v>931</v>
      </c>
      <c r="M74" s="337"/>
      <c r="N74" s="338" t="s">
        <v>572</v>
      </c>
      <c r="O74" s="339"/>
    </row>
    <row r="75" ht="45.0" customHeight="1">
      <c r="A75" s="340">
        <v>50.0</v>
      </c>
      <c r="D75" s="262" t="s">
        <v>933</v>
      </c>
      <c r="E75" s="262" t="s">
        <v>934</v>
      </c>
      <c r="F75" s="262" t="s">
        <v>576</v>
      </c>
      <c r="G75" s="262" t="s">
        <v>577</v>
      </c>
      <c r="H75" s="264" t="s">
        <v>580</v>
      </c>
      <c r="I75" s="264" t="str">
        <f t="shared" ref="I75:I76" si="70">IF(H75="SÍ","Completado",IF(H75="NO","Acción Pendiente",IF(H75="N/A","No Aplica","Revisión Pendiente")))</f>
        <v>Completado</v>
      </c>
      <c r="J75" s="266">
        <f t="shared" ref="J75:J76" si="71">IF(H75="SÍ",100%,IF(H75="N/A","",0%))</f>
        <v>1</v>
      </c>
      <c r="K75" s="262" t="s">
        <v>936</v>
      </c>
      <c r="L75" s="262" t="s">
        <v>937</v>
      </c>
      <c r="M75" s="262" t="str">
        <f t="shared" ref="M75:M76" si="72">IF(H75="SÍ","Mantener evidencia y monitorear",IF(H75="NO","Definir acción correctiva y adjuntar evidencia",IF(H75="N/A","Mantener justificación en archivo","Confirmar estado y evidencia")))</f>
        <v>Mantener evidencia y monitorear</v>
      </c>
      <c r="N75" s="2"/>
      <c r="O75" s="269"/>
    </row>
    <row r="76" ht="45.0" customHeight="1">
      <c r="A76" s="340">
        <v>51.0</v>
      </c>
      <c r="D76" s="262" t="s">
        <v>933</v>
      </c>
      <c r="E76" s="262" t="s">
        <v>941</v>
      </c>
      <c r="F76" s="262" t="s">
        <v>942</v>
      </c>
      <c r="G76" s="262" t="s">
        <v>577</v>
      </c>
      <c r="H76" s="341" t="s">
        <v>626</v>
      </c>
      <c r="I76" s="341" t="str">
        <f t="shared" si="70"/>
        <v>Revisión Pendiente</v>
      </c>
      <c r="J76" s="266">
        <f t="shared" si="71"/>
        <v>0</v>
      </c>
      <c r="K76" s="262"/>
      <c r="L76" s="262"/>
      <c r="M76" s="262" t="str">
        <f t="shared" si="72"/>
        <v>Confirmar estado y evidencia</v>
      </c>
      <c r="N76" s="2"/>
      <c r="O76" s="269"/>
    </row>
    <row r="77" ht="45.0" customHeight="1">
      <c r="A77" s="340"/>
      <c r="D77" s="271" t="s">
        <v>945</v>
      </c>
      <c r="L77" s="342" t="s">
        <v>947</v>
      </c>
      <c r="M77" s="343"/>
      <c r="N77" s="344" t="s">
        <v>572</v>
      </c>
      <c r="O77" s="345"/>
    </row>
    <row r="78" ht="45.0" customHeight="1">
      <c r="A78" s="340">
        <v>52.0</v>
      </c>
      <c r="D78" s="262" t="s">
        <v>950</v>
      </c>
      <c r="E78" s="262" t="s">
        <v>951</v>
      </c>
      <c r="F78" s="262" t="s">
        <v>613</v>
      </c>
      <c r="G78" s="262" t="s">
        <v>577</v>
      </c>
      <c r="H78" s="264" t="s">
        <v>580</v>
      </c>
      <c r="I78" s="264" t="str">
        <f>IF(H78="SÍ","Completado",IF(H78="NO","Acción Pendiente",IF(H78="N/A","No Aplica","Revisión Pendiente")))</f>
        <v>Completado</v>
      </c>
      <c r="J78" s="266">
        <f>IF(H78="SÍ",100%,IF(H78="N/A","",0%))</f>
        <v>1</v>
      </c>
      <c r="K78" s="262" t="s">
        <v>954</v>
      </c>
      <c r="L78" s="262"/>
      <c r="M78" s="262" t="str">
        <f>IF(H78="SÍ","Mantener evidencia y monitorear",IF(H78="NO","Definir acción correctiva y adjuntar evidencia",IF(H78="N/A","Mantener justificación en archivo","Confirmar estado y evidencia")))</f>
        <v>Mantener evidencia y monitorear</v>
      </c>
      <c r="N78" s="2"/>
      <c r="O78" s="269"/>
    </row>
    <row r="79" ht="45.0" customHeight="1">
      <c r="A79" s="340"/>
      <c r="D79" s="271" t="s">
        <v>956</v>
      </c>
      <c r="L79" s="272" t="s">
        <v>957</v>
      </c>
      <c r="M79" s="273"/>
      <c r="N79" s="274" t="s">
        <v>572</v>
      </c>
      <c r="O79" s="275"/>
    </row>
    <row r="80" ht="45.0" customHeight="1">
      <c r="A80" s="340">
        <v>53.0</v>
      </c>
      <c r="D80" s="262" t="s">
        <v>958</v>
      </c>
      <c r="E80" s="262" t="s">
        <v>959</v>
      </c>
      <c r="F80" s="262" t="s">
        <v>171</v>
      </c>
      <c r="G80" s="262" t="s">
        <v>636</v>
      </c>
      <c r="H80" s="264" t="s">
        <v>580</v>
      </c>
      <c r="I80" s="264" t="str">
        <f t="shared" ref="I80:I81" si="73">IF(H80="SÍ","Completado",IF(H80="NO","Acción Pendiente",IF(H80="N/A","No Aplica","Revisión Pendiente")))</f>
        <v>Completado</v>
      </c>
      <c r="J80" s="266">
        <f t="shared" ref="J80:J81" si="74">IF(H80="SÍ",100%,IF(H80="N/A","",0%))</f>
        <v>1</v>
      </c>
      <c r="K80" s="262" t="s">
        <v>964</v>
      </c>
      <c r="L80" s="346" t="s">
        <v>965</v>
      </c>
      <c r="M80" s="262" t="str">
        <f t="shared" ref="M80:M81" si="75">IF(H80="SÍ","Mantener evidencia y monitorear",IF(H80="NO","Definir acción correctiva y adjuntar evidencia",IF(H80="N/A","Mantener justificación en archivo","Confirmar estado y evidencia")))</f>
        <v>Mantener evidencia y monitorear</v>
      </c>
      <c r="N80" s="2"/>
      <c r="O80" s="269"/>
    </row>
    <row r="81" ht="45.0" customHeight="1">
      <c r="A81" s="347">
        <v>54.0</v>
      </c>
      <c r="B81" s="282"/>
      <c r="C81" s="282"/>
      <c r="D81" s="283" t="s">
        <v>958</v>
      </c>
      <c r="E81" s="283" t="s">
        <v>968</v>
      </c>
      <c r="F81" s="283" t="s">
        <v>171</v>
      </c>
      <c r="G81" s="283" t="s">
        <v>636</v>
      </c>
      <c r="H81" s="284" t="s">
        <v>580</v>
      </c>
      <c r="I81" s="284" t="str">
        <f t="shared" si="73"/>
        <v>Completado</v>
      </c>
      <c r="J81" s="285">
        <f t="shared" si="74"/>
        <v>1</v>
      </c>
      <c r="K81" s="283" t="s">
        <v>964</v>
      </c>
      <c r="L81" s="283" t="s">
        <v>641</v>
      </c>
      <c r="M81" s="283" t="str">
        <f t="shared" si="75"/>
        <v>Mantener evidencia y monitorear</v>
      </c>
      <c r="N81" s="312"/>
      <c r="O81" s="289"/>
    </row>
    <row r="82" ht="15.75" customHeight="1">
      <c r="A82" s="262"/>
      <c r="B82" s="262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"/>
    </row>
    <row r="83" ht="15.75" customHeight="1">
      <c r="A83" s="262"/>
      <c r="B83" s="262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"/>
    </row>
    <row r="84" ht="15.75" customHeight="1">
      <c r="A84" s="262"/>
      <c r="B84" s="262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"/>
    </row>
    <row r="85" ht="15.75" customHeight="1">
      <c r="A85" s="262"/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"/>
    </row>
    <row r="86" ht="15.75" customHeight="1">
      <c r="A86" s="262"/>
      <c r="B86" s="262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"/>
    </row>
    <row r="87" ht="15.75" customHeight="1">
      <c r="N87" s="2"/>
    </row>
    <row r="88" ht="15.75" customHeight="1">
      <c r="N88" s="2"/>
    </row>
    <row r="89" ht="15.75" customHeight="1">
      <c r="N89" s="2"/>
    </row>
    <row r="90" ht="15.75" customHeight="1">
      <c r="N90" s="2"/>
    </row>
    <row r="91" ht="15.75" customHeight="1">
      <c r="N91" s="2"/>
    </row>
    <row r="92" ht="15.75" customHeight="1">
      <c r="N92" s="2"/>
    </row>
    <row r="93" ht="15.75" customHeight="1">
      <c r="N93" s="2"/>
    </row>
    <row r="94" ht="15.75" customHeight="1">
      <c r="N94" s="2"/>
    </row>
    <row r="95" ht="15.75" customHeight="1">
      <c r="N95" s="2"/>
    </row>
    <row r="96" ht="15.75" customHeight="1">
      <c r="N96" s="2"/>
    </row>
    <row r="97" ht="15.75" customHeight="1">
      <c r="N97" s="2"/>
    </row>
    <row r="98" ht="15.75" customHeight="1">
      <c r="N98" s="2"/>
    </row>
    <row r="99" ht="15.75" customHeight="1">
      <c r="N99" s="2"/>
    </row>
    <row r="100" ht="15.75" customHeight="1">
      <c r="N100" s="2"/>
    </row>
    <row r="101" ht="15.75" customHeight="1">
      <c r="N101" s="2"/>
    </row>
    <row r="102" ht="15.75" customHeight="1">
      <c r="N102" s="2"/>
    </row>
    <row r="103" ht="15.75" customHeight="1">
      <c r="N103" s="2"/>
    </row>
    <row r="104" ht="15.75" customHeight="1">
      <c r="N104" s="2"/>
    </row>
    <row r="105" ht="15.75" customHeight="1">
      <c r="N105" s="2"/>
    </row>
    <row r="106" ht="15.75" customHeight="1">
      <c r="N106" s="2"/>
    </row>
    <row r="107" ht="15.75" customHeight="1">
      <c r="N107" s="2"/>
    </row>
    <row r="108" ht="15.75" customHeight="1">
      <c r="N108" s="2"/>
    </row>
    <row r="109" ht="15.75" customHeight="1">
      <c r="N109" s="2"/>
    </row>
    <row r="110" ht="15.75" customHeight="1">
      <c r="N110" s="2"/>
    </row>
    <row r="111" ht="15.75" customHeight="1">
      <c r="N111" s="2"/>
    </row>
    <row r="112" ht="15.75" customHeight="1">
      <c r="N112" s="2"/>
    </row>
    <row r="113" ht="15.75" customHeight="1">
      <c r="N113" s="2"/>
    </row>
    <row r="114" ht="15.75" customHeight="1">
      <c r="N114" s="2"/>
    </row>
    <row r="115" ht="15.75" customHeight="1">
      <c r="N115" s="2"/>
    </row>
    <row r="116" ht="15.75" customHeight="1">
      <c r="N116" s="2"/>
    </row>
    <row r="117" ht="15.75" customHeight="1">
      <c r="N117" s="2"/>
    </row>
    <row r="118" ht="15.75" customHeight="1">
      <c r="N118" s="2"/>
    </row>
    <row r="119" ht="15.75" customHeight="1">
      <c r="N119" s="2"/>
    </row>
    <row r="120" ht="15.75" customHeight="1">
      <c r="N120" s="2"/>
    </row>
    <row r="121" ht="15.75" customHeight="1">
      <c r="N121" s="2"/>
    </row>
    <row r="122" ht="15.75" customHeight="1">
      <c r="N122" s="2"/>
    </row>
    <row r="123" ht="15.75" customHeight="1">
      <c r="N123" s="2"/>
    </row>
    <row r="124" ht="15.75" customHeight="1">
      <c r="N124" s="2"/>
    </row>
    <row r="125" ht="15.75" customHeight="1">
      <c r="N125" s="2"/>
    </row>
    <row r="126" ht="15.75" customHeight="1">
      <c r="N126" s="2"/>
    </row>
    <row r="127" ht="15.75" customHeight="1">
      <c r="N127" s="2"/>
    </row>
    <row r="128" ht="15.75" customHeight="1">
      <c r="N128" s="2"/>
    </row>
    <row r="129" ht="15.75" customHeight="1">
      <c r="N129" s="2"/>
    </row>
    <row r="130" ht="15.75" customHeight="1">
      <c r="N130" s="2"/>
    </row>
    <row r="131" ht="15.75" customHeight="1">
      <c r="N131" s="2"/>
    </row>
    <row r="132" ht="15.75" customHeight="1">
      <c r="N132" s="2"/>
    </row>
    <row r="133" ht="15.75" customHeight="1">
      <c r="N133" s="2"/>
    </row>
    <row r="134" ht="15.75" customHeight="1">
      <c r="N134" s="2"/>
    </row>
    <row r="135" ht="15.75" customHeight="1">
      <c r="N135" s="2"/>
    </row>
    <row r="136" ht="15.75" customHeight="1">
      <c r="N136" s="2"/>
    </row>
    <row r="137" ht="15.75" customHeight="1">
      <c r="N137" s="2"/>
    </row>
    <row r="138" ht="15.75" customHeight="1">
      <c r="N138" s="2"/>
    </row>
    <row r="139" ht="15.75" customHeight="1">
      <c r="N139" s="2"/>
    </row>
    <row r="140" ht="15.75" customHeight="1">
      <c r="N140" s="2"/>
    </row>
    <row r="141" ht="15.75" customHeight="1">
      <c r="N141" s="2"/>
    </row>
    <row r="142" ht="15.75" customHeight="1">
      <c r="N142" s="2"/>
    </row>
    <row r="143" ht="15.75" customHeight="1">
      <c r="N143" s="2"/>
    </row>
    <row r="144" ht="15.75" customHeight="1">
      <c r="N144" s="2"/>
    </row>
    <row r="145" ht="15.75" customHeight="1">
      <c r="N145" s="2"/>
    </row>
    <row r="146" ht="15.75" customHeight="1">
      <c r="N146" s="2"/>
    </row>
    <row r="147" ht="15.75" customHeight="1">
      <c r="N147" s="2"/>
    </row>
    <row r="148" ht="15.75" customHeight="1">
      <c r="N148" s="2"/>
    </row>
    <row r="149" ht="15.75" customHeight="1">
      <c r="N149" s="2"/>
    </row>
    <row r="150" ht="15.75" customHeight="1">
      <c r="N150" s="2"/>
    </row>
    <row r="151" ht="15.75" customHeight="1">
      <c r="N151" s="2"/>
    </row>
    <row r="152" ht="15.75" customHeight="1">
      <c r="N152" s="2"/>
    </row>
    <row r="153" ht="15.75" customHeight="1">
      <c r="N153" s="2"/>
    </row>
    <row r="154" ht="15.75" customHeight="1">
      <c r="N154" s="2"/>
    </row>
    <row r="155" ht="15.75" customHeight="1">
      <c r="N155" s="2"/>
    </row>
    <row r="156" ht="15.75" customHeight="1">
      <c r="N156" s="2"/>
    </row>
    <row r="157" ht="15.75" customHeight="1">
      <c r="N157" s="2"/>
    </row>
    <row r="158" ht="15.75" customHeight="1">
      <c r="N158" s="2"/>
    </row>
    <row r="159" ht="15.75" customHeight="1">
      <c r="N159" s="2"/>
    </row>
    <row r="160" ht="15.75" customHeight="1">
      <c r="N160" s="2"/>
    </row>
    <row r="161" ht="15.75" customHeight="1">
      <c r="N161" s="2"/>
    </row>
    <row r="162" ht="15.75" customHeight="1">
      <c r="N162" s="2"/>
    </row>
    <row r="163" ht="15.75" customHeight="1">
      <c r="N163" s="2"/>
    </row>
    <row r="164" ht="15.75" customHeight="1">
      <c r="N164" s="2"/>
    </row>
    <row r="165" ht="15.75" customHeight="1">
      <c r="N165" s="2"/>
    </row>
    <row r="166" ht="15.75" customHeight="1">
      <c r="N166" s="2"/>
    </row>
    <row r="167" ht="15.75" customHeight="1">
      <c r="N167" s="2"/>
    </row>
    <row r="168" ht="15.75" customHeight="1">
      <c r="N168" s="2"/>
    </row>
    <row r="169" ht="15.75" customHeight="1">
      <c r="N169" s="2"/>
    </row>
    <row r="170" ht="15.75" customHeight="1">
      <c r="N170" s="2"/>
    </row>
    <row r="171" ht="15.75" customHeight="1">
      <c r="N171" s="2"/>
    </row>
    <row r="172" ht="15.75" customHeight="1">
      <c r="N172" s="2"/>
    </row>
    <row r="173" ht="15.75" customHeight="1">
      <c r="N173" s="2"/>
    </row>
    <row r="174" ht="15.75" customHeight="1">
      <c r="N174" s="2"/>
    </row>
    <row r="175" ht="15.75" customHeight="1">
      <c r="N175" s="2"/>
    </row>
    <row r="176" ht="15.75" customHeight="1">
      <c r="N176" s="2"/>
    </row>
    <row r="177" ht="15.75" customHeight="1">
      <c r="N177" s="2"/>
    </row>
    <row r="178" ht="15.75" customHeight="1">
      <c r="N178" s="2"/>
    </row>
    <row r="179" ht="15.75" customHeight="1">
      <c r="N179" s="2"/>
    </row>
    <row r="180" ht="15.75" customHeight="1">
      <c r="N180" s="2"/>
    </row>
    <row r="181" ht="15.75" customHeight="1">
      <c r="N181" s="2"/>
    </row>
    <row r="182" ht="15.75" customHeight="1">
      <c r="N182" s="2"/>
    </row>
    <row r="183" ht="15.75" customHeight="1">
      <c r="N183" s="2"/>
    </row>
    <row r="184" ht="15.75" customHeight="1">
      <c r="N184" s="2"/>
    </row>
    <row r="185" ht="15.75" customHeight="1">
      <c r="N185" s="2"/>
    </row>
    <row r="186" ht="15.75" customHeight="1">
      <c r="N186" s="2"/>
    </row>
    <row r="187" ht="15.75" customHeight="1">
      <c r="N187" s="2"/>
    </row>
    <row r="188" ht="15.75" customHeight="1">
      <c r="N188" s="2"/>
    </row>
    <row r="189" ht="15.75" customHeight="1">
      <c r="N189" s="2"/>
    </row>
    <row r="190" ht="15.75" customHeight="1">
      <c r="N190" s="2"/>
    </row>
    <row r="191" ht="15.75" customHeight="1">
      <c r="N191" s="2"/>
    </row>
    <row r="192" ht="15.75" customHeight="1">
      <c r="N192" s="2"/>
    </row>
    <row r="193" ht="15.75" customHeight="1">
      <c r="N193" s="2"/>
    </row>
    <row r="194" ht="15.75" customHeight="1">
      <c r="N194" s="2"/>
    </row>
    <row r="195" ht="15.75" customHeight="1">
      <c r="N195" s="2"/>
    </row>
    <row r="196" ht="15.75" customHeight="1">
      <c r="N196" s="2"/>
    </row>
    <row r="197" ht="15.75" customHeight="1">
      <c r="N197" s="2"/>
    </row>
    <row r="198" ht="15.75" customHeight="1">
      <c r="N198" s="2"/>
    </row>
    <row r="199" ht="15.75" customHeight="1">
      <c r="N199" s="2"/>
    </row>
    <row r="200" ht="15.75" customHeight="1">
      <c r="N200" s="2"/>
    </row>
    <row r="201" ht="15.75" customHeight="1">
      <c r="N201" s="2"/>
    </row>
    <row r="202" ht="15.75" customHeight="1">
      <c r="N202" s="2"/>
    </row>
    <row r="203" ht="15.75" customHeight="1">
      <c r="N203" s="2"/>
    </row>
    <row r="204" ht="15.75" customHeight="1">
      <c r="N204" s="2"/>
    </row>
    <row r="205" ht="15.75" customHeight="1">
      <c r="N205" s="2"/>
    </row>
    <row r="206" ht="15.75" customHeight="1">
      <c r="N206" s="2"/>
    </row>
    <row r="207" ht="15.75" customHeight="1">
      <c r="N207" s="2"/>
    </row>
    <row r="208" ht="15.75" customHeight="1">
      <c r="N208" s="2"/>
    </row>
    <row r="209" ht="15.75" customHeight="1">
      <c r="N209" s="2"/>
    </row>
    <row r="210" ht="15.75" customHeight="1">
      <c r="N210" s="2"/>
    </row>
    <row r="211" ht="15.75" customHeight="1">
      <c r="N211" s="2"/>
    </row>
    <row r="212" ht="15.75" customHeight="1">
      <c r="N212" s="2"/>
    </row>
    <row r="213" ht="15.75" customHeight="1">
      <c r="N213" s="2"/>
    </row>
    <row r="214" ht="15.75" customHeight="1">
      <c r="N214" s="2"/>
    </row>
    <row r="215" ht="15.75" customHeight="1">
      <c r="N215" s="2"/>
    </row>
    <row r="216" ht="15.75" customHeight="1">
      <c r="N216" s="2"/>
    </row>
    <row r="217" ht="15.75" customHeight="1">
      <c r="N217" s="2"/>
    </row>
    <row r="218" ht="15.75" customHeight="1">
      <c r="N218" s="2"/>
    </row>
    <row r="219" ht="15.75" customHeight="1">
      <c r="N219" s="2"/>
    </row>
    <row r="220" ht="15.75" customHeight="1">
      <c r="N220" s="2"/>
    </row>
    <row r="221" ht="15.75" customHeight="1">
      <c r="N221" s="2"/>
    </row>
    <row r="222" ht="15.75" customHeight="1">
      <c r="N222" s="2"/>
    </row>
    <row r="223" ht="15.75" customHeight="1">
      <c r="N223" s="2"/>
    </row>
    <row r="224" ht="15.75" customHeight="1">
      <c r="N224" s="2"/>
    </row>
    <row r="225" ht="15.75" customHeight="1">
      <c r="N225" s="2"/>
    </row>
    <row r="226" ht="15.75" customHeight="1">
      <c r="N226" s="2"/>
    </row>
    <row r="227" ht="15.75" customHeight="1">
      <c r="N227" s="2"/>
    </row>
    <row r="228" ht="15.75" customHeight="1">
      <c r="N228" s="2"/>
    </row>
    <row r="229" ht="15.75" customHeight="1">
      <c r="N229" s="2"/>
    </row>
    <row r="230" ht="15.75" customHeight="1">
      <c r="N230" s="2"/>
    </row>
    <row r="231" ht="15.75" customHeight="1">
      <c r="N231" s="2"/>
    </row>
    <row r="232" ht="15.75" customHeight="1">
      <c r="N232" s="2"/>
    </row>
    <row r="233" ht="15.75" customHeight="1">
      <c r="N233" s="2"/>
    </row>
    <row r="234" ht="15.75" customHeight="1">
      <c r="N234" s="2"/>
    </row>
    <row r="235" ht="15.75" customHeight="1">
      <c r="N235" s="2"/>
    </row>
    <row r="236" ht="15.75" customHeight="1">
      <c r="N236" s="2"/>
    </row>
    <row r="237" ht="15.75" customHeight="1">
      <c r="N237" s="2"/>
    </row>
    <row r="238" ht="15.75" customHeight="1">
      <c r="N238" s="2"/>
    </row>
    <row r="239" ht="15.75" customHeight="1">
      <c r="N239" s="2"/>
    </row>
    <row r="240" ht="15.75" customHeight="1">
      <c r="N240" s="2"/>
    </row>
    <row r="241" ht="15.75" customHeight="1">
      <c r="N241" s="2"/>
    </row>
    <row r="242" ht="15.75" customHeight="1">
      <c r="N242" s="2"/>
    </row>
    <row r="243" ht="15.75" customHeight="1">
      <c r="N243" s="2"/>
    </row>
    <row r="244" ht="15.75" customHeight="1">
      <c r="N244" s="2"/>
    </row>
    <row r="245" ht="15.75" customHeight="1">
      <c r="N245" s="2"/>
    </row>
    <row r="246" ht="15.75" customHeight="1">
      <c r="N246" s="2"/>
    </row>
    <row r="247" ht="15.75" customHeight="1">
      <c r="N247" s="2"/>
    </row>
    <row r="248" ht="15.75" customHeight="1">
      <c r="N248" s="2"/>
    </row>
    <row r="249" ht="15.75" customHeight="1">
      <c r="N249" s="2"/>
    </row>
    <row r="250" ht="15.75" customHeight="1">
      <c r="N250" s="2"/>
    </row>
    <row r="251" ht="15.75" customHeight="1">
      <c r="N251" s="2"/>
    </row>
    <row r="252" ht="15.75" customHeight="1">
      <c r="N252" s="2"/>
    </row>
    <row r="253" ht="15.75" customHeight="1">
      <c r="N253" s="2"/>
    </row>
    <row r="254" ht="15.75" customHeight="1">
      <c r="N254" s="2"/>
    </row>
    <row r="255" ht="15.75" customHeight="1">
      <c r="N255" s="2"/>
    </row>
    <row r="256" ht="15.75" customHeight="1">
      <c r="N256" s="2"/>
    </row>
    <row r="257" ht="15.75" customHeight="1">
      <c r="N257" s="2"/>
    </row>
    <row r="258" ht="15.75" customHeight="1">
      <c r="N258" s="2"/>
    </row>
    <row r="259" ht="15.75" customHeight="1">
      <c r="N259" s="2"/>
    </row>
    <row r="260" ht="15.75" customHeight="1">
      <c r="N260" s="2"/>
    </row>
    <row r="261" ht="15.75" customHeight="1">
      <c r="N261" s="2"/>
    </row>
    <row r="262" ht="15.75" customHeight="1">
      <c r="N262" s="2"/>
    </row>
    <row r="263" ht="15.75" customHeight="1">
      <c r="N263" s="2"/>
    </row>
    <row r="264" ht="15.75" customHeight="1">
      <c r="N264" s="2"/>
    </row>
    <row r="265" ht="15.75" customHeight="1">
      <c r="N265" s="2"/>
    </row>
    <row r="266" ht="15.75" customHeight="1">
      <c r="N266" s="2"/>
    </row>
    <row r="267" ht="15.75" customHeight="1">
      <c r="N267" s="2"/>
    </row>
    <row r="268" ht="15.75" customHeight="1">
      <c r="N268" s="2"/>
    </row>
    <row r="269" ht="15.75" customHeight="1">
      <c r="N269" s="2"/>
    </row>
    <row r="270" ht="15.75" customHeight="1">
      <c r="N270" s="2"/>
    </row>
    <row r="271" ht="15.75" customHeight="1">
      <c r="N271" s="2"/>
    </row>
    <row r="272" ht="15.75" customHeight="1">
      <c r="N272" s="2"/>
    </row>
    <row r="273" ht="15.75" customHeight="1">
      <c r="N273" s="2"/>
    </row>
    <row r="274" ht="15.75" customHeight="1">
      <c r="N274" s="2"/>
    </row>
    <row r="275" ht="15.75" customHeight="1">
      <c r="N275" s="2"/>
    </row>
    <row r="276" ht="15.75" customHeight="1">
      <c r="N276" s="2"/>
    </row>
    <row r="277" ht="15.75" customHeight="1">
      <c r="N277" s="2"/>
    </row>
    <row r="278" ht="15.75" customHeight="1">
      <c r="N278" s="2"/>
    </row>
    <row r="279" ht="15.75" customHeight="1">
      <c r="N279" s="2"/>
    </row>
    <row r="280" ht="15.75" customHeight="1">
      <c r="N280" s="2"/>
    </row>
    <row r="281" ht="15.75" customHeight="1">
      <c r="N281" s="2"/>
    </row>
    <row r="282" ht="15.75" customHeight="1">
      <c r="N282" s="2"/>
    </row>
    <row r="283" ht="15.75" customHeight="1">
      <c r="N283" s="2"/>
    </row>
    <row r="284" ht="15.75" customHeight="1">
      <c r="N284" s="2"/>
    </row>
    <row r="285" ht="15.75" customHeight="1">
      <c r="N285" s="2"/>
    </row>
    <row r="286" ht="15.75" customHeight="1">
      <c r="N286" s="2"/>
    </row>
    <row r="287" ht="15.75" customHeight="1">
      <c r="N287" s="2"/>
    </row>
    <row r="288" ht="15.75" customHeight="1">
      <c r="N288" s="2"/>
    </row>
    <row r="289" ht="15.75" customHeight="1">
      <c r="N289" s="2"/>
    </row>
    <row r="290" ht="15.75" customHeight="1">
      <c r="N290" s="2"/>
    </row>
    <row r="291" ht="15.75" customHeight="1">
      <c r="N291" s="2"/>
    </row>
    <row r="292" ht="15.75" customHeight="1">
      <c r="N292" s="2"/>
    </row>
    <row r="293" ht="15.75" customHeight="1">
      <c r="N293" s="2"/>
    </row>
    <row r="294" ht="15.75" customHeight="1">
      <c r="N294" s="2"/>
    </row>
    <row r="295" ht="15.75" customHeight="1">
      <c r="N295" s="2"/>
    </row>
    <row r="296" ht="15.75" customHeight="1">
      <c r="N296" s="2"/>
    </row>
    <row r="297" ht="15.75" customHeight="1">
      <c r="N297" s="2"/>
    </row>
    <row r="298" ht="15.75" customHeight="1">
      <c r="N298" s="2"/>
    </row>
    <row r="299" ht="15.75" customHeight="1">
      <c r="N299" s="2"/>
    </row>
    <row r="300" ht="15.75" customHeight="1">
      <c r="N300" s="2"/>
    </row>
    <row r="301" ht="15.75" customHeight="1">
      <c r="N301" s="2"/>
    </row>
    <row r="302" ht="15.75" customHeight="1">
      <c r="N302" s="2"/>
    </row>
    <row r="303" ht="15.75" customHeight="1">
      <c r="N303" s="2"/>
    </row>
    <row r="304" ht="15.75" customHeight="1">
      <c r="N304" s="2"/>
    </row>
    <row r="305" ht="15.75" customHeight="1">
      <c r="N305" s="2"/>
    </row>
    <row r="306" ht="15.75" customHeight="1">
      <c r="N306" s="2"/>
    </row>
    <row r="307" ht="15.75" customHeight="1">
      <c r="N307" s="2"/>
    </row>
    <row r="308" ht="15.75" customHeight="1">
      <c r="N308" s="2"/>
    </row>
    <row r="309" ht="15.75" customHeight="1">
      <c r="N309" s="2"/>
    </row>
    <row r="310" ht="15.75" customHeight="1">
      <c r="N310" s="2"/>
    </row>
    <row r="311" ht="15.75" customHeight="1">
      <c r="N311" s="2"/>
    </row>
    <row r="312" ht="15.75" customHeight="1">
      <c r="N312" s="2"/>
    </row>
    <row r="313" ht="15.75" customHeight="1">
      <c r="N313" s="2"/>
    </row>
    <row r="314" ht="15.75" customHeight="1">
      <c r="N314" s="2"/>
    </row>
    <row r="315" ht="15.75" customHeight="1">
      <c r="N315" s="2"/>
    </row>
    <row r="316" ht="15.75" customHeight="1">
      <c r="N316" s="2"/>
    </row>
    <row r="317" ht="15.75" customHeight="1">
      <c r="N317" s="2"/>
    </row>
    <row r="318" ht="15.75" customHeight="1">
      <c r="N318" s="2"/>
    </row>
    <row r="319" ht="15.75" customHeight="1">
      <c r="N319" s="2"/>
    </row>
    <row r="320" ht="15.75" customHeight="1">
      <c r="N320" s="2"/>
    </row>
    <row r="321" ht="15.75" customHeight="1">
      <c r="N321" s="2"/>
    </row>
    <row r="322" ht="15.75" customHeight="1">
      <c r="N322" s="2"/>
    </row>
    <row r="323" ht="15.75" customHeight="1">
      <c r="N323" s="2"/>
    </row>
    <row r="324" ht="15.75" customHeight="1">
      <c r="N324" s="2"/>
    </row>
    <row r="325" ht="15.75" customHeight="1">
      <c r="N325" s="2"/>
    </row>
    <row r="326" ht="15.75" customHeight="1">
      <c r="N326" s="2"/>
    </row>
    <row r="327" ht="15.75" customHeight="1">
      <c r="N327" s="2"/>
    </row>
    <row r="328" ht="15.75" customHeight="1">
      <c r="N328" s="2"/>
    </row>
    <row r="329" ht="15.75" customHeight="1">
      <c r="N329" s="2"/>
    </row>
    <row r="330" ht="15.75" customHeight="1">
      <c r="N330" s="2"/>
    </row>
    <row r="331" ht="15.75" customHeight="1">
      <c r="N331" s="2"/>
    </row>
    <row r="332" ht="15.75" customHeight="1">
      <c r="N332" s="2"/>
    </row>
    <row r="333" ht="15.75" customHeight="1">
      <c r="N333" s="2"/>
    </row>
    <row r="334" ht="15.75" customHeight="1">
      <c r="N334" s="2"/>
    </row>
    <row r="335" ht="15.75" customHeight="1">
      <c r="N335" s="2"/>
    </row>
    <row r="336" ht="15.75" customHeight="1">
      <c r="N336" s="2"/>
    </row>
    <row r="337" ht="15.75" customHeight="1">
      <c r="N337" s="2"/>
    </row>
    <row r="338" ht="15.75" customHeight="1">
      <c r="N338" s="2"/>
    </row>
    <row r="339" ht="15.75" customHeight="1">
      <c r="N339" s="2"/>
    </row>
    <row r="340" ht="15.75" customHeight="1">
      <c r="N340" s="2"/>
    </row>
    <row r="341" ht="15.75" customHeight="1">
      <c r="N341" s="2"/>
    </row>
    <row r="342" ht="15.75" customHeight="1">
      <c r="N342" s="2"/>
    </row>
    <row r="343" ht="15.75" customHeight="1">
      <c r="N343" s="2"/>
    </row>
    <row r="344" ht="15.75" customHeight="1">
      <c r="N344" s="2"/>
    </row>
    <row r="345" ht="15.75" customHeight="1">
      <c r="N345" s="2"/>
    </row>
    <row r="346" ht="15.75" customHeight="1">
      <c r="N346" s="2"/>
    </row>
    <row r="347" ht="15.75" customHeight="1">
      <c r="N347" s="2"/>
    </row>
    <row r="348" ht="15.75" customHeight="1">
      <c r="N348" s="2"/>
    </row>
    <row r="349" ht="15.75" customHeight="1">
      <c r="N349" s="2"/>
    </row>
    <row r="350" ht="15.75" customHeight="1">
      <c r="N350" s="2"/>
    </row>
    <row r="351" ht="15.75" customHeight="1">
      <c r="N351" s="2"/>
    </row>
    <row r="352" ht="15.75" customHeight="1">
      <c r="N352" s="2"/>
    </row>
    <row r="353" ht="15.75" customHeight="1">
      <c r="N353" s="2"/>
    </row>
    <row r="354" ht="15.75" customHeight="1">
      <c r="N354" s="2"/>
    </row>
    <row r="355" ht="15.75" customHeight="1">
      <c r="N355" s="2"/>
    </row>
    <row r="356" ht="15.75" customHeight="1">
      <c r="N356" s="2"/>
    </row>
    <row r="357" ht="15.75" customHeight="1">
      <c r="N357" s="2"/>
    </row>
    <row r="358" ht="15.75" customHeight="1">
      <c r="N358" s="2"/>
    </row>
    <row r="359" ht="15.75" customHeight="1">
      <c r="N359" s="2"/>
    </row>
    <row r="360" ht="15.75" customHeight="1">
      <c r="N360" s="2"/>
    </row>
    <row r="361" ht="15.75" customHeight="1">
      <c r="N361" s="2"/>
    </row>
    <row r="362" ht="15.75" customHeight="1">
      <c r="N362" s="2"/>
    </row>
    <row r="363" ht="15.75" customHeight="1">
      <c r="N363" s="2"/>
    </row>
    <row r="364" ht="15.75" customHeight="1">
      <c r="N364" s="2"/>
    </row>
    <row r="365" ht="15.75" customHeight="1">
      <c r="N365" s="2"/>
    </row>
    <row r="366" ht="15.75" customHeight="1">
      <c r="N366" s="2"/>
    </row>
    <row r="367" ht="15.75" customHeight="1">
      <c r="N367" s="2"/>
    </row>
    <row r="368" ht="15.75" customHeight="1">
      <c r="N368" s="2"/>
    </row>
    <row r="369" ht="15.75" customHeight="1">
      <c r="N369" s="2"/>
    </row>
    <row r="370" ht="15.75" customHeight="1">
      <c r="N370" s="2"/>
    </row>
    <row r="371" ht="15.75" customHeight="1">
      <c r="N371" s="2"/>
    </row>
    <row r="372" ht="15.75" customHeight="1">
      <c r="N372" s="2"/>
    </row>
    <row r="373" ht="15.75" customHeight="1">
      <c r="N373" s="2"/>
    </row>
    <row r="374" ht="15.75" customHeight="1">
      <c r="N374" s="2"/>
    </row>
    <row r="375" ht="15.75" customHeight="1">
      <c r="N375" s="2"/>
    </row>
    <row r="376" ht="15.75" customHeight="1">
      <c r="N376" s="2"/>
    </row>
    <row r="377" ht="15.75" customHeight="1">
      <c r="N377" s="2"/>
    </row>
    <row r="378" ht="15.75" customHeight="1">
      <c r="N378" s="2"/>
    </row>
    <row r="379" ht="15.75" customHeight="1">
      <c r="N379" s="2"/>
    </row>
    <row r="380" ht="15.75" customHeight="1">
      <c r="N380" s="2"/>
    </row>
    <row r="381" ht="15.75" customHeight="1">
      <c r="N381" s="2"/>
    </row>
    <row r="382" ht="15.75" customHeight="1">
      <c r="N382" s="2"/>
    </row>
    <row r="383" ht="15.75" customHeight="1">
      <c r="N383" s="2"/>
    </row>
    <row r="384" ht="15.75" customHeight="1">
      <c r="N384" s="2"/>
    </row>
    <row r="385" ht="15.75" customHeight="1">
      <c r="N385" s="2"/>
    </row>
    <row r="386" ht="15.75" customHeight="1">
      <c r="N386" s="2"/>
    </row>
    <row r="387" ht="15.75" customHeight="1">
      <c r="N387" s="2"/>
    </row>
    <row r="388" ht="15.75" customHeight="1">
      <c r="N388" s="2"/>
    </row>
    <row r="389" ht="15.75" customHeight="1">
      <c r="N389" s="2"/>
    </row>
    <row r="390" ht="15.75" customHeight="1">
      <c r="N390" s="2"/>
    </row>
    <row r="391" ht="15.75" customHeight="1">
      <c r="N391" s="2"/>
    </row>
    <row r="392" ht="15.75" customHeight="1">
      <c r="N392" s="2"/>
    </row>
    <row r="393" ht="15.75" customHeight="1">
      <c r="N393" s="2"/>
    </row>
    <row r="394" ht="15.75" customHeight="1">
      <c r="N394" s="2"/>
    </row>
    <row r="395" ht="15.75" customHeight="1">
      <c r="N395" s="2"/>
    </row>
    <row r="396" ht="15.75" customHeight="1">
      <c r="N396" s="2"/>
    </row>
    <row r="397" ht="15.75" customHeight="1">
      <c r="N397" s="2"/>
    </row>
    <row r="398" ht="15.75" customHeight="1">
      <c r="N398" s="2"/>
    </row>
    <row r="399" ht="15.75" customHeight="1">
      <c r="N399" s="2"/>
    </row>
    <row r="400" ht="15.75" customHeight="1">
      <c r="N400" s="2"/>
    </row>
    <row r="401" ht="15.75" customHeight="1">
      <c r="N401" s="2"/>
    </row>
    <row r="402" ht="15.75" customHeight="1">
      <c r="N402" s="2"/>
    </row>
    <row r="403" ht="15.75" customHeight="1">
      <c r="N403" s="2"/>
    </row>
    <row r="404" ht="15.75" customHeight="1">
      <c r="N404" s="2"/>
    </row>
    <row r="405" ht="15.75" customHeight="1">
      <c r="N405" s="2"/>
    </row>
    <row r="406" ht="15.75" customHeight="1">
      <c r="N406" s="2"/>
    </row>
    <row r="407" ht="15.75" customHeight="1">
      <c r="N407" s="2"/>
    </row>
    <row r="408" ht="15.75" customHeight="1">
      <c r="N408" s="2"/>
    </row>
    <row r="409" ht="15.75" customHeight="1">
      <c r="N409" s="2"/>
    </row>
    <row r="410" ht="15.75" customHeight="1">
      <c r="N410" s="2"/>
    </row>
    <row r="411" ht="15.75" customHeight="1">
      <c r="N411" s="2"/>
    </row>
    <row r="412" ht="15.75" customHeight="1">
      <c r="N412" s="2"/>
    </row>
    <row r="413" ht="15.75" customHeight="1">
      <c r="N413" s="2"/>
    </row>
    <row r="414" ht="15.75" customHeight="1">
      <c r="N414" s="2"/>
    </row>
    <row r="415" ht="15.75" customHeight="1">
      <c r="N415" s="2"/>
    </row>
    <row r="416" ht="15.75" customHeight="1">
      <c r="N416" s="2"/>
    </row>
    <row r="417" ht="15.75" customHeight="1">
      <c r="N417" s="2"/>
    </row>
    <row r="418" ht="15.75" customHeight="1">
      <c r="N418" s="2"/>
    </row>
    <row r="419" ht="15.75" customHeight="1">
      <c r="N419" s="2"/>
    </row>
    <row r="420" ht="15.75" customHeight="1">
      <c r="N420" s="2"/>
    </row>
    <row r="421" ht="15.75" customHeight="1">
      <c r="N421" s="2"/>
    </row>
    <row r="422" ht="15.75" customHeight="1">
      <c r="N422" s="2"/>
    </row>
    <row r="423" ht="15.75" customHeight="1">
      <c r="N423" s="2"/>
    </row>
    <row r="424" ht="15.75" customHeight="1">
      <c r="N424" s="2"/>
    </row>
    <row r="425" ht="15.75" customHeight="1">
      <c r="N425" s="2"/>
    </row>
    <row r="426" ht="15.75" customHeight="1">
      <c r="N426" s="2"/>
    </row>
    <row r="427" ht="15.75" customHeight="1">
      <c r="N427" s="2"/>
    </row>
    <row r="428" ht="15.75" customHeight="1">
      <c r="N428" s="2"/>
    </row>
    <row r="429" ht="15.75" customHeight="1">
      <c r="N429" s="2"/>
    </row>
    <row r="430" ht="15.75" customHeight="1">
      <c r="N430" s="2"/>
    </row>
    <row r="431" ht="15.75" customHeight="1">
      <c r="N431" s="2"/>
    </row>
    <row r="432" ht="15.75" customHeight="1">
      <c r="N432" s="2"/>
    </row>
    <row r="433" ht="15.75" customHeight="1">
      <c r="N433" s="2"/>
    </row>
    <row r="434" ht="15.75" customHeight="1">
      <c r="N434" s="2"/>
    </row>
    <row r="435" ht="15.75" customHeight="1">
      <c r="N435" s="2"/>
    </row>
    <row r="436" ht="15.75" customHeight="1">
      <c r="N436" s="2"/>
    </row>
    <row r="437" ht="15.75" customHeight="1">
      <c r="N437" s="2"/>
    </row>
    <row r="438" ht="15.75" customHeight="1">
      <c r="N438" s="2"/>
    </row>
    <row r="439" ht="15.75" customHeight="1">
      <c r="N439" s="2"/>
    </row>
    <row r="440" ht="15.75" customHeight="1">
      <c r="N440" s="2"/>
    </row>
    <row r="441" ht="15.75" customHeight="1">
      <c r="N441" s="2"/>
    </row>
    <row r="442" ht="15.75" customHeight="1">
      <c r="N442" s="2"/>
    </row>
    <row r="443" ht="15.75" customHeight="1">
      <c r="N443" s="2"/>
    </row>
    <row r="444" ht="15.75" customHeight="1">
      <c r="N444" s="2"/>
    </row>
    <row r="445" ht="15.75" customHeight="1">
      <c r="N445" s="2"/>
    </row>
    <row r="446" ht="15.75" customHeight="1">
      <c r="N446" s="2"/>
    </row>
    <row r="447" ht="15.75" customHeight="1">
      <c r="N447" s="2"/>
    </row>
    <row r="448" ht="15.75" customHeight="1">
      <c r="N448" s="2"/>
    </row>
    <row r="449" ht="15.75" customHeight="1">
      <c r="N449" s="2"/>
    </row>
    <row r="450" ht="15.75" customHeight="1">
      <c r="N450" s="2"/>
    </row>
    <row r="451" ht="15.75" customHeight="1">
      <c r="N451" s="2"/>
    </row>
    <row r="452" ht="15.75" customHeight="1">
      <c r="N452" s="2"/>
    </row>
    <row r="453" ht="15.75" customHeight="1">
      <c r="N453" s="2"/>
    </row>
    <row r="454" ht="15.75" customHeight="1">
      <c r="N454" s="2"/>
    </row>
    <row r="455" ht="15.75" customHeight="1">
      <c r="N455" s="2"/>
    </row>
    <row r="456" ht="15.75" customHeight="1">
      <c r="N456" s="2"/>
    </row>
    <row r="457" ht="15.75" customHeight="1">
      <c r="N457" s="2"/>
    </row>
    <row r="458" ht="15.75" customHeight="1">
      <c r="N458" s="2"/>
    </row>
    <row r="459" ht="15.75" customHeight="1">
      <c r="N459" s="2"/>
    </row>
    <row r="460" ht="15.75" customHeight="1">
      <c r="N460" s="2"/>
    </row>
    <row r="461" ht="15.75" customHeight="1">
      <c r="N461" s="2"/>
    </row>
    <row r="462" ht="15.75" customHeight="1">
      <c r="N462" s="2"/>
    </row>
    <row r="463" ht="15.75" customHeight="1">
      <c r="N463" s="2"/>
    </row>
    <row r="464" ht="15.75" customHeight="1">
      <c r="N464" s="2"/>
    </row>
    <row r="465" ht="15.75" customHeight="1">
      <c r="N465" s="2"/>
    </row>
    <row r="466" ht="15.75" customHeight="1">
      <c r="N466" s="2"/>
    </row>
    <row r="467" ht="15.75" customHeight="1">
      <c r="N467" s="2"/>
    </row>
    <row r="468" ht="15.75" customHeight="1">
      <c r="N468" s="2"/>
    </row>
    <row r="469" ht="15.75" customHeight="1">
      <c r="N469" s="2"/>
    </row>
    <row r="470" ht="15.75" customHeight="1">
      <c r="N470" s="2"/>
    </row>
    <row r="471" ht="15.75" customHeight="1">
      <c r="N471" s="2"/>
    </row>
    <row r="472" ht="15.75" customHeight="1">
      <c r="N472" s="2"/>
    </row>
    <row r="473" ht="15.75" customHeight="1">
      <c r="N473" s="2"/>
    </row>
    <row r="474" ht="15.75" customHeight="1">
      <c r="N474" s="2"/>
    </row>
    <row r="475" ht="15.75" customHeight="1">
      <c r="N475" s="2"/>
    </row>
    <row r="476" ht="15.75" customHeight="1">
      <c r="N476" s="2"/>
    </row>
    <row r="477" ht="15.75" customHeight="1">
      <c r="N477" s="2"/>
    </row>
    <row r="478" ht="15.75" customHeight="1">
      <c r="N478" s="2"/>
    </row>
    <row r="479" ht="15.75" customHeight="1">
      <c r="N479" s="2"/>
    </row>
    <row r="480" ht="15.75" customHeight="1">
      <c r="N480" s="2"/>
    </row>
    <row r="481" ht="15.75" customHeight="1">
      <c r="N481" s="2"/>
    </row>
    <row r="482" ht="15.75" customHeight="1">
      <c r="N482" s="2"/>
    </row>
    <row r="483" ht="15.75" customHeight="1">
      <c r="N483" s="2"/>
    </row>
    <row r="484" ht="15.75" customHeight="1">
      <c r="N484" s="2"/>
    </row>
    <row r="485" ht="15.75" customHeight="1">
      <c r="N485" s="2"/>
    </row>
    <row r="486" ht="15.75" customHeight="1">
      <c r="N486" s="2"/>
    </row>
    <row r="487" ht="15.75" customHeight="1">
      <c r="N487" s="2"/>
    </row>
    <row r="488" ht="15.75" customHeight="1">
      <c r="N488" s="2"/>
    </row>
    <row r="489" ht="15.75" customHeight="1">
      <c r="N489" s="2"/>
    </row>
    <row r="490" ht="15.75" customHeight="1">
      <c r="N490" s="2"/>
    </row>
    <row r="491" ht="15.75" customHeight="1">
      <c r="N491" s="2"/>
    </row>
    <row r="492" ht="15.75" customHeight="1">
      <c r="N492" s="2"/>
    </row>
    <row r="493" ht="15.75" customHeight="1">
      <c r="N493" s="2"/>
    </row>
    <row r="494" ht="15.75" customHeight="1">
      <c r="N494" s="2"/>
    </row>
    <row r="495" ht="15.75" customHeight="1">
      <c r="N495" s="2"/>
    </row>
    <row r="496" ht="15.75" customHeight="1">
      <c r="N496" s="2"/>
    </row>
    <row r="497" ht="15.75" customHeight="1">
      <c r="N497" s="2"/>
    </row>
    <row r="498" ht="15.75" customHeight="1">
      <c r="N498" s="2"/>
    </row>
    <row r="499" ht="15.75" customHeight="1">
      <c r="N499" s="2"/>
    </row>
    <row r="500" ht="15.75" customHeight="1">
      <c r="N500" s="2"/>
    </row>
    <row r="501" ht="15.75" customHeight="1">
      <c r="N501" s="2"/>
    </row>
    <row r="502" ht="15.75" customHeight="1">
      <c r="N502" s="2"/>
    </row>
    <row r="503" ht="15.75" customHeight="1">
      <c r="N503" s="2"/>
    </row>
    <row r="504" ht="15.75" customHeight="1">
      <c r="N504" s="2"/>
    </row>
    <row r="505" ht="15.75" customHeight="1">
      <c r="N505" s="2"/>
    </row>
    <row r="506" ht="15.75" customHeight="1">
      <c r="N506" s="2"/>
    </row>
    <row r="507" ht="15.75" customHeight="1">
      <c r="N507" s="2"/>
    </row>
    <row r="508" ht="15.75" customHeight="1">
      <c r="N508" s="2"/>
    </row>
    <row r="509" ht="15.75" customHeight="1">
      <c r="N509" s="2"/>
    </row>
    <row r="510" ht="15.75" customHeight="1">
      <c r="N510" s="2"/>
    </row>
    <row r="511" ht="15.75" customHeight="1">
      <c r="N511" s="2"/>
    </row>
    <row r="512" ht="15.75" customHeight="1">
      <c r="N512" s="2"/>
    </row>
    <row r="513" ht="15.75" customHeight="1">
      <c r="N513" s="2"/>
    </row>
    <row r="514" ht="15.75" customHeight="1">
      <c r="N514" s="2"/>
    </row>
    <row r="515" ht="15.75" customHeight="1">
      <c r="N515" s="2"/>
    </row>
    <row r="516" ht="15.75" customHeight="1">
      <c r="N516" s="2"/>
    </row>
    <row r="517" ht="15.75" customHeight="1">
      <c r="N517" s="2"/>
    </row>
    <row r="518" ht="15.75" customHeight="1">
      <c r="N518" s="2"/>
    </row>
    <row r="519" ht="15.75" customHeight="1">
      <c r="N519" s="2"/>
    </row>
    <row r="520" ht="15.75" customHeight="1">
      <c r="N520" s="2"/>
    </row>
    <row r="521" ht="15.75" customHeight="1">
      <c r="N521" s="2"/>
    </row>
    <row r="522" ht="15.75" customHeight="1">
      <c r="N522" s="2"/>
    </row>
    <row r="523" ht="15.75" customHeight="1">
      <c r="N523" s="2"/>
    </row>
    <row r="524" ht="15.75" customHeight="1">
      <c r="N524" s="2"/>
    </row>
    <row r="525" ht="15.75" customHeight="1">
      <c r="N525" s="2"/>
    </row>
    <row r="526" ht="15.75" customHeight="1">
      <c r="N526" s="2"/>
    </row>
    <row r="527" ht="15.75" customHeight="1">
      <c r="N527" s="2"/>
    </row>
    <row r="528" ht="15.75" customHeight="1">
      <c r="N528" s="2"/>
    </row>
    <row r="529" ht="15.75" customHeight="1">
      <c r="N529" s="2"/>
    </row>
    <row r="530" ht="15.75" customHeight="1">
      <c r="N530" s="2"/>
    </row>
    <row r="531" ht="15.75" customHeight="1">
      <c r="N531" s="2"/>
    </row>
    <row r="532" ht="15.75" customHeight="1">
      <c r="N532" s="2"/>
    </row>
    <row r="533" ht="15.75" customHeight="1">
      <c r="N533" s="2"/>
    </row>
    <row r="534" ht="15.75" customHeight="1">
      <c r="N534" s="2"/>
    </row>
    <row r="535" ht="15.75" customHeight="1">
      <c r="N535" s="2"/>
    </row>
    <row r="536" ht="15.75" customHeight="1">
      <c r="N536" s="2"/>
    </row>
    <row r="537" ht="15.75" customHeight="1">
      <c r="N537" s="2"/>
    </row>
    <row r="538" ht="15.75" customHeight="1">
      <c r="N538" s="2"/>
    </row>
    <row r="539" ht="15.75" customHeight="1">
      <c r="N539" s="2"/>
    </row>
    <row r="540" ht="15.75" customHeight="1">
      <c r="N540" s="2"/>
    </row>
    <row r="541" ht="15.75" customHeight="1">
      <c r="N541" s="2"/>
    </row>
    <row r="542" ht="15.75" customHeight="1">
      <c r="N542" s="2"/>
    </row>
    <row r="543" ht="15.75" customHeight="1">
      <c r="N543" s="2"/>
    </row>
    <row r="544" ht="15.75" customHeight="1">
      <c r="N544" s="2"/>
    </row>
    <row r="545" ht="15.75" customHeight="1">
      <c r="N545" s="2"/>
    </row>
    <row r="546" ht="15.75" customHeight="1">
      <c r="N546" s="2"/>
    </row>
    <row r="547" ht="15.75" customHeight="1">
      <c r="N547" s="2"/>
    </row>
    <row r="548" ht="15.75" customHeight="1">
      <c r="N548" s="2"/>
    </row>
    <row r="549" ht="15.75" customHeight="1">
      <c r="N549" s="2"/>
    </row>
    <row r="550" ht="15.75" customHeight="1">
      <c r="N550" s="2"/>
    </row>
    <row r="551" ht="15.75" customHeight="1">
      <c r="N551" s="2"/>
    </row>
    <row r="552" ht="15.75" customHeight="1">
      <c r="N552" s="2"/>
    </row>
    <row r="553" ht="15.75" customHeight="1">
      <c r="N553" s="2"/>
    </row>
    <row r="554" ht="15.75" customHeight="1">
      <c r="N554" s="2"/>
    </row>
    <row r="555" ht="15.75" customHeight="1">
      <c r="N555" s="2"/>
    </row>
    <row r="556" ht="15.75" customHeight="1">
      <c r="N556" s="2"/>
    </row>
    <row r="557" ht="15.75" customHeight="1">
      <c r="N557" s="2"/>
    </row>
    <row r="558" ht="15.75" customHeight="1">
      <c r="N558" s="2"/>
    </row>
    <row r="559" ht="15.75" customHeight="1">
      <c r="N559" s="2"/>
    </row>
    <row r="560" ht="15.75" customHeight="1">
      <c r="N560" s="2"/>
    </row>
    <row r="561" ht="15.75" customHeight="1">
      <c r="N561" s="2"/>
    </row>
    <row r="562" ht="15.75" customHeight="1">
      <c r="N562" s="2"/>
    </row>
    <row r="563" ht="15.75" customHeight="1">
      <c r="N563" s="2"/>
    </row>
    <row r="564" ht="15.75" customHeight="1">
      <c r="N564" s="2"/>
    </row>
    <row r="565" ht="15.75" customHeight="1">
      <c r="N565" s="2"/>
    </row>
    <row r="566" ht="15.75" customHeight="1">
      <c r="N566" s="2"/>
    </row>
    <row r="567" ht="15.75" customHeight="1">
      <c r="N567" s="2"/>
    </row>
    <row r="568" ht="15.75" customHeight="1">
      <c r="N568" s="2"/>
    </row>
    <row r="569" ht="15.75" customHeight="1">
      <c r="N569" s="2"/>
    </row>
    <row r="570" ht="15.75" customHeight="1">
      <c r="N570" s="2"/>
    </row>
    <row r="571" ht="15.75" customHeight="1">
      <c r="N571" s="2"/>
    </row>
    <row r="572" ht="15.75" customHeight="1">
      <c r="N572" s="2"/>
    </row>
    <row r="573" ht="15.75" customHeight="1">
      <c r="N573" s="2"/>
    </row>
    <row r="574" ht="15.75" customHeight="1">
      <c r="N574" s="2"/>
    </row>
    <row r="575" ht="15.75" customHeight="1">
      <c r="N575" s="2"/>
    </row>
    <row r="576" ht="15.75" customHeight="1">
      <c r="N576" s="2"/>
    </row>
    <row r="577" ht="15.75" customHeight="1">
      <c r="N577" s="2"/>
    </row>
    <row r="578" ht="15.75" customHeight="1">
      <c r="N578" s="2"/>
    </row>
    <row r="579" ht="15.75" customHeight="1">
      <c r="N579" s="2"/>
    </row>
    <row r="580" ht="15.75" customHeight="1">
      <c r="N580" s="2"/>
    </row>
    <row r="581" ht="15.75" customHeight="1">
      <c r="N581" s="2"/>
    </row>
    <row r="582" ht="15.75" customHeight="1">
      <c r="N582" s="2"/>
    </row>
    <row r="583" ht="15.75" customHeight="1">
      <c r="N583" s="2"/>
    </row>
    <row r="584" ht="15.75" customHeight="1">
      <c r="N584" s="2"/>
    </row>
    <row r="585" ht="15.75" customHeight="1">
      <c r="N585" s="2"/>
    </row>
    <row r="586" ht="15.75" customHeight="1">
      <c r="N586" s="2"/>
    </row>
    <row r="587" ht="15.75" customHeight="1">
      <c r="N587" s="2"/>
    </row>
    <row r="588" ht="15.75" customHeight="1">
      <c r="N588" s="2"/>
    </row>
    <row r="589" ht="15.75" customHeight="1">
      <c r="N589" s="2"/>
    </row>
    <row r="590" ht="15.75" customHeight="1">
      <c r="N590" s="2"/>
    </row>
    <row r="591" ht="15.75" customHeight="1">
      <c r="N591" s="2"/>
    </row>
    <row r="592" ht="15.75" customHeight="1">
      <c r="N592" s="2"/>
    </row>
    <row r="593" ht="15.75" customHeight="1">
      <c r="N593" s="2"/>
    </row>
    <row r="594" ht="15.75" customHeight="1">
      <c r="N594" s="2"/>
    </row>
    <row r="595" ht="15.75" customHeight="1">
      <c r="N595" s="2"/>
    </row>
    <row r="596" ht="15.75" customHeight="1">
      <c r="N596" s="2"/>
    </row>
    <row r="597" ht="15.75" customHeight="1">
      <c r="N597" s="2"/>
    </row>
    <row r="598" ht="15.75" customHeight="1">
      <c r="N598" s="2"/>
    </row>
    <row r="599" ht="15.75" customHeight="1">
      <c r="N599" s="2"/>
    </row>
    <row r="600" ht="15.75" customHeight="1">
      <c r="N600" s="2"/>
    </row>
    <row r="601" ht="15.75" customHeight="1">
      <c r="N601" s="2"/>
    </row>
    <row r="602" ht="15.75" customHeight="1">
      <c r="N602" s="2"/>
    </row>
    <row r="603" ht="15.75" customHeight="1">
      <c r="N603" s="2"/>
    </row>
    <row r="604" ht="15.75" customHeight="1">
      <c r="N604" s="2"/>
    </row>
    <row r="605" ht="15.75" customHeight="1">
      <c r="N605" s="2"/>
    </row>
    <row r="606" ht="15.75" customHeight="1">
      <c r="N606" s="2"/>
    </row>
    <row r="607" ht="15.75" customHeight="1">
      <c r="N607" s="2"/>
    </row>
    <row r="608" ht="15.75" customHeight="1">
      <c r="N608" s="2"/>
    </row>
    <row r="609" ht="15.75" customHeight="1">
      <c r="N609" s="2"/>
    </row>
    <row r="610" ht="15.75" customHeight="1">
      <c r="N610" s="2"/>
    </row>
    <row r="611" ht="15.75" customHeight="1">
      <c r="N611" s="2"/>
    </row>
    <row r="612" ht="15.75" customHeight="1">
      <c r="N612" s="2"/>
    </row>
    <row r="613" ht="15.75" customHeight="1">
      <c r="N613" s="2"/>
    </row>
    <row r="614" ht="15.75" customHeight="1">
      <c r="N614" s="2"/>
    </row>
    <row r="615" ht="15.75" customHeight="1">
      <c r="N615" s="2"/>
    </row>
    <row r="616" ht="15.75" customHeight="1">
      <c r="N616" s="2"/>
    </row>
    <row r="617" ht="15.75" customHeight="1">
      <c r="N617" s="2"/>
    </row>
    <row r="618" ht="15.75" customHeight="1">
      <c r="N618" s="2"/>
    </row>
    <row r="619" ht="15.75" customHeight="1">
      <c r="N619" s="2"/>
    </row>
    <row r="620" ht="15.75" customHeight="1">
      <c r="N620" s="2"/>
    </row>
    <row r="621" ht="15.75" customHeight="1">
      <c r="N621" s="2"/>
    </row>
    <row r="622" ht="15.75" customHeight="1">
      <c r="N622" s="2"/>
    </row>
    <row r="623" ht="15.75" customHeight="1">
      <c r="N623" s="2"/>
    </row>
    <row r="624" ht="15.75" customHeight="1">
      <c r="N624" s="2"/>
    </row>
    <row r="625" ht="15.75" customHeight="1">
      <c r="N625" s="2"/>
    </row>
    <row r="626" ht="15.75" customHeight="1">
      <c r="N626" s="2"/>
    </row>
    <row r="627" ht="15.75" customHeight="1">
      <c r="N627" s="2"/>
    </row>
    <row r="628" ht="15.75" customHeight="1">
      <c r="N628" s="2"/>
    </row>
    <row r="629" ht="15.75" customHeight="1">
      <c r="N629" s="2"/>
    </row>
    <row r="630" ht="15.75" customHeight="1">
      <c r="N630" s="2"/>
    </row>
    <row r="631" ht="15.75" customHeight="1">
      <c r="N631" s="2"/>
    </row>
    <row r="632" ht="15.75" customHeight="1">
      <c r="N632" s="2"/>
    </row>
    <row r="633" ht="15.75" customHeight="1">
      <c r="N633" s="2"/>
    </row>
    <row r="634" ht="15.75" customHeight="1">
      <c r="N634" s="2"/>
    </row>
    <row r="635" ht="15.75" customHeight="1">
      <c r="N635" s="2"/>
    </row>
    <row r="636" ht="15.75" customHeight="1">
      <c r="N636" s="2"/>
    </row>
    <row r="637" ht="15.75" customHeight="1">
      <c r="N637" s="2"/>
    </row>
    <row r="638" ht="15.75" customHeight="1">
      <c r="N638" s="2"/>
    </row>
    <row r="639" ht="15.75" customHeight="1">
      <c r="N639" s="2"/>
    </row>
    <row r="640" ht="15.75" customHeight="1">
      <c r="N640" s="2"/>
    </row>
    <row r="641" ht="15.75" customHeight="1">
      <c r="N641" s="2"/>
    </row>
    <row r="642" ht="15.75" customHeight="1">
      <c r="N642" s="2"/>
    </row>
    <row r="643" ht="15.75" customHeight="1">
      <c r="N643" s="2"/>
    </row>
    <row r="644" ht="15.75" customHeight="1">
      <c r="N644" s="2"/>
    </row>
    <row r="645" ht="15.75" customHeight="1">
      <c r="N645" s="2"/>
    </row>
    <row r="646" ht="15.75" customHeight="1">
      <c r="N646" s="2"/>
    </row>
    <row r="647" ht="15.75" customHeight="1">
      <c r="N647" s="2"/>
    </row>
    <row r="648" ht="15.75" customHeight="1">
      <c r="N648" s="2"/>
    </row>
    <row r="649" ht="15.75" customHeight="1">
      <c r="N649" s="2"/>
    </row>
    <row r="650" ht="15.75" customHeight="1">
      <c r="N650" s="2"/>
    </row>
    <row r="651" ht="15.75" customHeight="1">
      <c r="N651" s="2"/>
    </row>
    <row r="652" ht="15.75" customHeight="1">
      <c r="N652" s="2"/>
    </row>
    <row r="653" ht="15.75" customHeight="1">
      <c r="N653" s="2"/>
    </row>
    <row r="654" ht="15.75" customHeight="1">
      <c r="N654" s="2"/>
    </row>
    <row r="655" ht="15.75" customHeight="1">
      <c r="N655" s="2"/>
    </row>
    <row r="656" ht="15.75" customHeight="1">
      <c r="N656" s="2"/>
    </row>
    <row r="657" ht="15.75" customHeight="1">
      <c r="N657" s="2"/>
    </row>
    <row r="658" ht="15.75" customHeight="1">
      <c r="N658" s="2"/>
    </row>
    <row r="659" ht="15.75" customHeight="1">
      <c r="N659" s="2"/>
    </row>
    <row r="660" ht="15.75" customHeight="1">
      <c r="N660" s="2"/>
    </row>
    <row r="661" ht="15.75" customHeight="1">
      <c r="N661" s="2"/>
    </row>
    <row r="662" ht="15.75" customHeight="1">
      <c r="N662" s="2"/>
    </row>
    <row r="663" ht="15.75" customHeight="1">
      <c r="N663" s="2"/>
    </row>
    <row r="664" ht="15.75" customHeight="1">
      <c r="N664" s="2"/>
    </row>
    <row r="665" ht="15.75" customHeight="1">
      <c r="N665" s="2"/>
    </row>
    <row r="666" ht="15.75" customHeight="1">
      <c r="N666" s="2"/>
    </row>
    <row r="667" ht="15.75" customHeight="1">
      <c r="N667" s="2"/>
    </row>
    <row r="668" ht="15.75" customHeight="1">
      <c r="N668" s="2"/>
    </row>
    <row r="669" ht="15.75" customHeight="1">
      <c r="N669" s="2"/>
    </row>
    <row r="670" ht="15.75" customHeight="1">
      <c r="N670" s="2"/>
    </row>
    <row r="671" ht="15.75" customHeight="1">
      <c r="N671" s="2"/>
    </row>
    <row r="672" ht="15.75" customHeight="1">
      <c r="N672" s="2"/>
    </row>
    <row r="673" ht="15.75" customHeight="1">
      <c r="N673" s="2"/>
    </row>
    <row r="674" ht="15.75" customHeight="1">
      <c r="N674" s="2"/>
    </row>
    <row r="675" ht="15.75" customHeight="1">
      <c r="N675" s="2"/>
    </row>
    <row r="676" ht="15.75" customHeight="1">
      <c r="N676" s="2"/>
    </row>
    <row r="677" ht="15.75" customHeight="1">
      <c r="N677" s="2"/>
    </row>
    <row r="678" ht="15.75" customHeight="1">
      <c r="N678" s="2"/>
    </row>
    <row r="679" ht="15.75" customHeight="1">
      <c r="N679" s="2"/>
    </row>
    <row r="680" ht="15.75" customHeight="1">
      <c r="N680" s="2"/>
    </row>
    <row r="681" ht="15.75" customHeight="1">
      <c r="N681" s="2"/>
    </row>
    <row r="682" ht="15.75" customHeight="1">
      <c r="N682" s="2"/>
    </row>
    <row r="683" ht="15.75" customHeight="1">
      <c r="N683" s="2"/>
    </row>
    <row r="684" ht="15.75" customHeight="1">
      <c r="N684" s="2"/>
    </row>
    <row r="685" ht="15.75" customHeight="1">
      <c r="N685" s="2"/>
    </row>
    <row r="686" ht="15.75" customHeight="1">
      <c r="N686" s="2"/>
    </row>
    <row r="687" ht="15.75" customHeight="1">
      <c r="N687" s="2"/>
    </row>
    <row r="688" ht="15.75" customHeight="1">
      <c r="N688" s="2"/>
    </row>
    <row r="689" ht="15.75" customHeight="1">
      <c r="N689" s="2"/>
    </row>
    <row r="690" ht="15.75" customHeight="1">
      <c r="N690" s="2"/>
    </row>
    <row r="691" ht="15.75" customHeight="1">
      <c r="N691" s="2"/>
    </row>
    <row r="692" ht="15.75" customHeight="1">
      <c r="N692" s="2"/>
    </row>
    <row r="693" ht="15.75" customHeight="1">
      <c r="N693" s="2"/>
    </row>
    <row r="694" ht="15.75" customHeight="1">
      <c r="N694" s="2"/>
    </row>
    <row r="695" ht="15.75" customHeight="1">
      <c r="N695" s="2"/>
    </row>
    <row r="696" ht="15.75" customHeight="1">
      <c r="N696" s="2"/>
    </row>
    <row r="697" ht="15.75" customHeight="1">
      <c r="N697" s="2"/>
    </row>
    <row r="698" ht="15.75" customHeight="1">
      <c r="N698" s="2"/>
    </row>
    <row r="699" ht="15.75" customHeight="1">
      <c r="N699" s="2"/>
    </row>
    <row r="700" ht="15.75" customHeight="1">
      <c r="N700" s="2"/>
    </row>
    <row r="701" ht="15.75" customHeight="1">
      <c r="N701" s="2"/>
    </row>
    <row r="702" ht="15.75" customHeight="1">
      <c r="N702" s="2"/>
    </row>
    <row r="703" ht="15.75" customHeight="1">
      <c r="N703" s="2"/>
    </row>
    <row r="704" ht="15.75" customHeight="1">
      <c r="N704" s="2"/>
    </row>
    <row r="705" ht="15.75" customHeight="1">
      <c r="N705" s="2"/>
    </row>
    <row r="706" ht="15.75" customHeight="1">
      <c r="N706" s="2"/>
    </row>
    <row r="707" ht="15.75" customHeight="1">
      <c r="N707" s="2"/>
    </row>
    <row r="708" ht="15.75" customHeight="1">
      <c r="N708" s="2"/>
    </row>
    <row r="709" ht="15.75" customHeight="1">
      <c r="N709" s="2"/>
    </row>
    <row r="710" ht="15.75" customHeight="1">
      <c r="N710" s="2"/>
    </row>
    <row r="711" ht="15.75" customHeight="1">
      <c r="N711" s="2"/>
    </row>
    <row r="712" ht="15.75" customHeight="1">
      <c r="N712" s="2"/>
    </row>
    <row r="713" ht="15.75" customHeight="1">
      <c r="N713" s="2"/>
    </row>
    <row r="714" ht="15.75" customHeight="1">
      <c r="N714" s="2"/>
    </row>
    <row r="715" ht="15.75" customHeight="1">
      <c r="N715" s="2"/>
    </row>
    <row r="716" ht="15.75" customHeight="1">
      <c r="N716" s="2"/>
    </row>
    <row r="717" ht="15.75" customHeight="1">
      <c r="N717" s="2"/>
    </row>
    <row r="718" ht="15.75" customHeight="1">
      <c r="N718" s="2"/>
    </row>
    <row r="719" ht="15.75" customHeight="1">
      <c r="N719" s="2"/>
    </row>
    <row r="720" ht="15.75" customHeight="1">
      <c r="N720" s="2"/>
    </row>
    <row r="721" ht="15.75" customHeight="1">
      <c r="N721" s="2"/>
    </row>
    <row r="722" ht="15.75" customHeight="1">
      <c r="N722" s="2"/>
    </row>
    <row r="723" ht="15.75" customHeight="1">
      <c r="N723" s="2"/>
    </row>
    <row r="724" ht="15.75" customHeight="1">
      <c r="N724" s="2"/>
    </row>
    <row r="725" ht="15.75" customHeight="1">
      <c r="N725" s="2"/>
    </row>
    <row r="726" ht="15.75" customHeight="1">
      <c r="N726" s="2"/>
    </row>
    <row r="727" ht="15.75" customHeight="1">
      <c r="N727" s="2"/>
    </row>
    <row r="728" ht="15.75" customHeight="1">
      <c r="N728" s="2"/>
    </row>
    <row r="729" ht="15.75" customHeight="1">
      <c r="N729" s="2"/>
    </row>
    <row r="730" ht="15.75" customHeight="1">
      <c r="N730" s="2"/>
    </row>
    <row r="731" ht="15.75" customHeight="1">
      <c r="N731" s="2"/>
    </row>
    <row r="732" ht="15.75" customHeight="1">
      <c r="N732" s="2"/>
    </row>
    <row r="733" ht="15.75" customHeight="1">
      <c r="N733" s="2"/>
    </row>
    <row r="734" ht="15.75" customHeight="1">
      <c r="N734" s="2"/>
    </row>
    <row r="735" ht="15.75" customHeight="1">
      <c r="N735" s="2"/>
    </row>
    <row r="736" ht="15.75" customHeight="1">
      <c r="N736" s="2"/>
    </row>
    <row r="737" ht="15.75" customHeight="1">
      <c r="N737" s="2"/>
    </row>
    <row r="738" ht="15.75" customHeight="1">
      <c r="N738" s="2"/>
    </row>
    <row r="739" ht="15.75" customHeight="1">
      <c r="N739" s="2"/>
    </row>
    <row r="740" ht="15.75" customHeight="1">
      <c r="N740" s="2"/>
    </row>
    <row r="741" ht="15.75" customHeight="1">
      <c r="N741" s="2"/>
    </row>
    <row r="742" ht="15.75" customHeight="1">
      <c r="N742" s="2"/>
    </row>
    <row r="743" ht="15.75" customHeight="1">
      <c r="N743" s="2"/>
    </row>
    <row r="744" ht="15.75" customHeight="1">
      <c r="N744" s="2"/>
    </row>
    <row r="745" ht="15.75" customHeight="1">
      <c r="N745" s="2"/>
    </row>
    <row r="746" ht="15.75" customHeight="1">
      <c r="N746" s="2"/>
    </row>
    <row r="747" ht="15.75" customHeight="1">
      <c r="N747" s="2"/>
    </row>
    <row r="748" ht="15.75" customHeight="1">
      <c r="N748" s="2"/>
    </row>
    <row r="749" ht="15.75" customHeight="1">
      <c r="N749" s="2"/>
    </row>
    <row r="750" ht="15.75" customHeight="1">
      <c r="N750" s="2"/>
    </row>
    <row r="751" ht="15.75" customHeight="1">
      <c r="N751" s="2"/>
    </row>
    <row r="752" ht="15.75" customHeight="1">
      <c r="N752" s="2"/>
    </row>
    <row r="753" ht="15.75" customHeight="1">
      <c r="N753" s="2"/>
    </row>
    <row r="754" ht="15.75" customHeight="1">
      <c r="N754" s="2"/>
    </row>
    <row r="755" ht="15.75" customHeight="1">
      <c r="N755" s="2"/>
    </row>
    <row r="756" ht="15.75" customHeight="1">
      <c r="N756" s="2"/>
    </row>
    <row r="757" ht="15.75" customHeight="1">
      <c r="N757" s="2"/>
    </row>
    <row r="758" ht="15.75" customHeight="1">
      <c r="N758" s="2"/>
    </row>
    <row r="759" ht="15.75" customHeight="1">
      <c r="N759" s="2"/>
    </row>
    <row r="760" ht="15.75" customHeight="1">
      <c r="N760" s="2"/>
    </row>
    <row r="761" ht="15.75" customHeight="1">
      <c r="N761" s="2"/>
    </row>
    <row r="762" ht="15.75" customHeight="1">
      <c r="N762" s="2"/>
    </row>
    <row r="763" ht="15.75" customHeight="1">
      <c r="N763" s="2"/>
    </row>
    <row r="764" ht="15.75" customHeight="1">
      <c r="N764" s="2"/>
    </row>
    <row r="765" ht="15.75" customHeight="1">
      <c r="N765" s="2"/>
    </row>
    <row r="766" ht="15.75" customHeight="1">
      <c r="N766" s="2"/>
    </row>
    <row r="767" ht="15.75" customHeight="1">
      <c r="N767" s="2"/>
    </row>
    <row r="768" ht="15.75" customHeight="1">
      <c r="N768" s="2"/>
    </row>
    <row r="769" ht="15.75" customHeight="1">
      <c r="N769" s="2"/>
    </row>
    <row r="770" ht="15.75" customHeight="1">
      <c r="N770" s="2"/>
    </row>
    <row r="771" ht="15.75" customHeight="1">
      <c r="N771" s="2"/>
    </row>
    <row r="772" ht="15.75" customHeight="1">
      <c r="N772" s="2"/>
    </row>
    <row r="773" ht="15.75" customHeight="1">
      <c r="N773" s="2"/>
    </row>
    <row r="774" ht="15.75" customHeight="1">
      <c r="N774" s="2"/>
    </row>
    <row r="775" ht="15.75" customHeight="1">
      <c r="N775" s="2"/>
    </row>
    <row r="776" ht="15.75" customHeight="1">
      <c r="N776" s="2"/>
    </row>
    <row r="777" ht="15.75" customHeight="1">
      <c r="N777" s="2"/>
    </row>
    <row r="778" ht="15.75" customHeight="1">
      <c r="N778" s="2"/>
    </row>
    <row r="779" ht="15.75" customHeight="1">
      <c r="N779" s="2"/>
    </row>
    <row r="780" ht="15.75" customHeight="1">
      <c r="N780" s="2"/>
    </row>
    <row r="781" ht="15.75" customHeight="1">
      <c r="N781" s="2"/>
    </row>
    <row r="782" ht="15.75" customHeight="1">
      <c r="N782" s="2"/>
    </row>
    <row r="783" ht="15.75" customHeight="1">
      <c r="N783" s="2"/>
    </row>
    <row r="784" ht="15.75" customHeight="1">
      <c r="N784" s="2"/>
    </row>
    <row r="785" ht="15.75" customHeight="1">
      <c r="N785" s="2"/>
    </row>
    <row r="786" ht="15.75" customHeight="1">
      <c r="N786" s="2"/>
    </row>
    <row r="787" ht="15.75" customHeight="1">
      <c r="N787" s="2"/>
    </row>
    <row r="788" ht="15.75" customHeight="1">
      <c r="N788" s="2"/>
    </row>
    <row r="789" ht="15.75" customHeight="1">
      <c r="N789" s="2"/>
    </row>
    <row r="790" ht="15.75" customHeight="1">
      <c r="N790" s="2"/>
    </row>
    <row r="791" ht="15.75" customHeight="1">
      <c r="N791" s="2"/>
    </row>
    <row r="792" ht="15.75" customHeight="1">
      <c r="N792" s="2"/>
    </row>
    <row r="793" ht="15.75" customHeight="1">
      <c r="N793" s="2"/>
    </row>
    <row r="794" ht="15.75" customHeight="1">
      <c r="N794" s="2"/>
    </row>
    <row r="795" ht="15.75" customHeight="1">
      <c r="N795" s="2"/>
    </row>
    <row r="796" ht="15.75" customHeight="1">
      <c r="N796" s="2"/>
    </row>
    <row r="797" ht="15.75" customHeight="1">
      <c r="N797" s="2"/>
    </row>
    <row r="798" ht="15.75" customHeight="1">
      <c r="N798" s="2"/>
    </row>
    <row r="799" ht="15.75" customHeight="1">
      <c r="N799" s="2"/>
    </row>
    <row r="800" ht="15.75" customHeight="1">
      <c r="N800" s="2"/>
    </row>
    <row r="801" ht="15.75" customHeight="1">
      <c r="N801" s="2"/>
    </row>
    <row r="802" ht="15.75" customHeight="1">
      <c r="N802" s="2"/>
    </row>
    <row r="803" ht="15.75" customHeight="1">
      <c r="N803" s="2"/>
    </row>
    <row r="804" ht="15.75" customHeight="1">
      <c r="N804" s="2"/>
    </row>
    <row r="805" ht="15.75" customHeight="1">
      <c r="N805" s="2"/>
    </row>
    <row r="806" ht="15.75" customHeight="1">
      <c r="N806" s="2"/>
    </row>
    <row r="807" ht="15.75" customHeight="1">
      <c r="N807" s="2"/>
    </row>
    <row r="808" ht="15.75" customHeight="1">
      <c r="N808" s="2"/>
    </row>
    <row r="809" ht="15.75" customHeight="1">
      <c r="N809" s="2"/>
    </row>
    <row r="810" ht="15.75" customHeight="1">
      <c r="N810" s="2"/>
    </row>
    <row r="811" ht="15.75" customHeight="1">
      <c r="N811" s="2"/>
    </row>
    <row r="812" ht="15.75" customHeight="1">
      <c r="N812" s="2"/>
    </row>
    <row r="813" ht="15.75" customHeight="1">
      <c r="N813" s="2"/>
    </row>
    <row r="814" ht="15.75" customHeight="1">
      <c r="N814" s="2"/>
    </row>
    <row r="815" ht="15.75" customHeight="1">
      <c r="N815" s="2"/>
    </row>
    <row r="816" ht="15.75" customHeight="1">
      <c r="N816" s="2"/>
    </row>
    <row r="817" ht="15.75" customHeight="1">
      <c r="N817" s="2"/>
    </row>
    <row r="818" ht="15.75" customHeight="1">
      <c r="N818" s="2"/>
    </row>
    <row r="819" ht="15.75" customHeight="1">
      <c r="N819" s="2"/>
    </row>
    <row r="820" ht="15.75" customHeight="1">
      <c r="N820" s="2"/>
    </row>
    <row r="821" ht="15.75" customHeight="1">
      <c r="N821" s="2"/>
    </row>
    <row r="822" ht="15.75" customHeight="1">
      <c r="N822" s="2"/>
    </row>
    <row r="823" ht="15.75" customHeight="1">
      <c r="N823" s="2"/>
    </row>
    <row r="824" ht="15.75" customHeight="1">
      <c r="N824" s="2"/>
    </row>
    <row r="825" ht="15.75" customHeight="1">
      <c r="N825" s="2"/>
    </row>
    <row r="826" ht="15.75" customHeight="1">
      <c r="N826" s="2"/>
    </row>
    <row r="827" ht="15.75" customHeight="1">
      <c r="N827" s="2"/>
    </row>
    <row r="828" ht="15.75" customHeight="1">
      <c r="N828" s="2"/>
    </row>
    <row r="829" ht="15.75" customHeight="1">
      <c r="N829" s="2"/>
    </row>
    <row r="830" ht="15.75" customHeight="1">
      <c r="N830" s="2"/>
    </row>
    <row r="831" ht="15.75" customHeight="1">
      <c r="N831" s="2"/>
    </row>
    <row r="832" ht="15.75" customHeight="1">
      <c r="N832" s="2"/>
    </row>
    <row r="833" ht="15.75" customHeight="1">
      <c r="N833" s="2"/>
    </row>
    <row r="834" ht="15.75" customHeight="1">
      <c r="N834" s="2"/>
    </row>
    <row r="835" ht="15.75" customHeight="1">
      <c r="N835" s="2"/>
    </row>
    <row r="836" ht="15.75" customHeight="1">
      <c r="N836" s="2"/>
    </row>
    <row r="837" ht="15.75" customHeight="1">
      <c r="N837" s="2"/>
    </row>
    <row r="838" ht="15.75" customHeight="1">
      <c r="N838" s="2"/>
    </row>
    <row r="839" ht="15.75" customHeight="1">
      <c r="N839" s="2"/>
    </row>
    <row r="840" ht="15.75" customHeight="1">
      <c r="N840" s="2"/>
    </row>
    <row r="841" ht="15.75" customHeight="1">
      <c r="N841" s="2"/>
    </row>
    <row r="842" ht="15.75" customHeight="1">
      <c r="N842" s="2"/>
    </row>
    <row r="843" ht="15.75" customHeight="1">
      <c r="N843" s="2"/>
    </row>
    <row r="844" ht="15.75" customHeight="1">
      <c r="N844" s="2"/>
    </row>
    <row r="845" ht="15.75" customHeight="1">
      <c r="N845" s="2"/>
    </row>
    <row r="846" ht="15.75" customHeight="1">
      <c r="N846" s="2"/>
    </row>
    <row r="847" ht="15.75" customHeight="1">
      <c r="N847" s="2"/>
    </row>
    <row r="848" ht="15.75" customHeight="1">
      <c r="N848" s="2"/>
    </row>
    <row r="849" ht="15.75" customHeight="1">
      <c r="N849" s="2"/>
    </row>
    <row r="850" ht="15.75" customHeight="1">
      <c r="N850" s="2"/>
    </row>
    <row r="851" ht="15.75" customHeight="1">
      <c r="N851" s="2"/>
    </row>
    <row r="852" ht="15.75" customHeight="1">
      <c r="N852" s="2"/>
    </row>
    <row r="853" ht="15.75" customHeight="1">
      <c r="N853" s="2"/>
    </row>
    <row r="854" ht="15.75" customHeight="1">
      <c r="N854" s="2"/>
    </row>
    <row r="855" ht="15.75" customHeight="1">
      <c r="N855" s="2"/>
    </row>
    <row r="856" ht="15.75" customHeight="1">
      <c r="N856" s="2"/>
    </row>
    <row r="857" ht="15.75" customHeight="1">
      <c r="N857" s="2"/>
    </row>
    <row r="858" ht="15.75" customHeight="1">
      <c r="N858" s="2"/>
    </row>
    <row r="859" ht="15.75" customHeight="1">
      <c r="N859" s="2"/>
    </row>
    <row r="860" ht="15.75" customHeight="1">
      <c r="N860" s="2"/>
    </row>
    <row r="861" ht="15.75" customHeight="1">
      <c r="N861" s="2"/>
    </row>
    <row r="862" ht="15.75" customHeight="1">
      <c r="N862" s="2"/>
    </row>
    <row r="863" ht="15.75" customHeight="1">
      <c r="N863" s="2"/>
    </row>
    <row r="864" ht="15.75" customHeight="1">
      <c r="N864" s="2"/>
    </row>
    <row r="865" ht="15.75" customHeight="1">
      <c r="N865" s="2"/>
    </row>
    <row r="866" ht="15.75" customHeight="1">
      <c r="N866" s="2"/>
    </row>
    <row r="867" ht="15.75" customHeight="1">
      <c r="N867" s="2"/>
    </row>
    <row r="868" ht="15.75" customHeight="1">
      <c r="N868" s="2"/>
    </row>
    <row r="869" ht="15.75" customHeight="1">
      <c r="N869" s="2"/>
    </row>
    <row r="870" ht="15.75" customHeight="1">
      <c r="N870" s="2"/>
    </row>
    <row r="871" ht="15.75" customHeight="1">
      <c r="N871" s="2"/>
    </row>
    <row r="872" ht="15.75" customHeight="1">
      <c r="N872" s="2"/>
    </row>
    <row r="873" ht="15.75" customHeight="1">
      <c r="N873" s="2"/>
    </row>
    <row r="874" ht="15.75" customHeight="1">
      <c r="N874" s="2"/>
    </row>
    <row r="875" ht="15.75" customHeight="1">
      <c r="N875" s="2"/>
    </row>
    <row r="876" ht="15.75" customHeight="1">
      <c r="N876" s="2"/>
    </row>
    <row r="877" ht="15.75" customHeight="1">
      <c r="N877" s="2"/>
    </row>
    <row r="878" ht="15.75" customHeight="1">
      <c r="N878" s="2"/>
    </row>
    <row r="879" ht="15.75" customHeight="1">
      <c r="N879" s="2"/>
    </row>
    <row r="880" ht="15.75" customHeight="1">
      <c r="N880" s="2"/>
    </row>
    <row r="881" ht="15.75" customHeight="1">
      <c r="N881" s="2"/>
    </row>
    <row r="882" ht="15.75" customHeight="1">
      <c r="N882" s="2"/>
    </row>
    <row r="883" ht="15.75" customHeight="1">
      <c r="N883" s="2"/>
    </row>
    <row r="884" ht="15.75" customHeight="1">
      <c r="N884" s="2"/>
    </row>
    <row r="885" ht="15.75" customHeight="1">
      <c r="N885" s="2"/>
    </row>
    <row r="886" ht="15.75" customHeight="1">
      <c r="N886" s="2"/>
    </row>
    <row r="887" ht="15.75" customHeight="1">
      <c r="N887" s="2"/>
    </row>
    <row r="888" ht="15.75" customHeight="1">
      <c r="N888" s="2"/>
    </row>
    <row r="889" ht="15.75" customHeight="1">
      <c r="N889" s="2"/>
    </row>
    <row r="890" ht="15.75" customHeight="1">
      <c r="N890" s="2"/>
    </row>
    <row r="891" ht="15.75" customHeight="1">
      <c r="N891" s="2"/>
    </row>
    <row r="892" ht="15.75" customHeight="1">
      <c r="N892" s="2"/>
    </row>
    <row r="893" ht="15.75" customHeight="1">
      <c r="N893" s="2"/>
    </row>
    <row r="894" ht="15.75" customHeight="1">
      <c r="N894" s="2"/>
    </row>
    <row r="895" ht="15.75" customHeight="1">
      <c r="N895" s="2"/>
    </row>
    <row r="896" ht="15.75" customHeight="1">
      <c r="N896" s="2"/>
    </row>
    <row r="897" ht="15.75" customHeight="1">
      <c r="N897" s="2"/>
    </row>
    <row r="898" ht="15.75" customHeight="1">
      <c r="N898" s="2"/>
    </row>
    <row r="899" ht="15.75" customHeight="1">
      <c r="N899" s="2"/>
    </row>
    <row r="900" ht="15.75" customHeight="1">
      <c r="N900" s="2"/>
    </row>
    <row r="901" ht="15.75" customHeight="1">
      <c r="N901" s="2"/>
    </row>
    <row r="902" ht="15.75" customHeight="1">
      <c r="N902" s="2"/>
    </row>
    <row r="903" ht="15.75" customHeight="1">
      <c r="N903" s="2"/>
    </row>
    <row r="904" ht="15.75" customHeight="1">
      <c r="N904" s="2"/>
    </row>
    <row r="905" ht="15.75" customHeight="1">
      <c r="N905" s="2"/>
    </row>
    <row r="906" ht="15.75" customHeight="1">
      <c r="N906" s="2"/>
    </row>
    <row r="907" ht="15.75" customHeight="1">
      <c r="N907" s="2"/>
    </row>
    <row r="908" ht="15.75" customHeight="1">
      <c r="N908" s="2"/>
    </row>
    <row r="909" ht="15.75" customHeight="1">
      <c r="N909" s="2"/>
    </row>
    <row r="910" ht="15.75" customHeight="1">
      <c r="N910" s="2"/>
    </row>
    <row r="911" ht="15.75" customHeight="1">
      <c r="N911" s="2"/>
    </row>
    <row r="912" ht="15.75" customHeight="1">
      <c r="N912" s="2"/>
    </row>
    <row r="913" ht="15.75" customHeight="1">
      <c r="N913" s="2"/>
    </row>
    <row r="914" ht="15.75" customHeight="1">
      <c r="N914" s="2"/>
    </row>
    <row r="915" ht="15.75" customHeight="1">
      <c r="N915" s="2"/>
    </row>
    <row r="916" ht="15.75" customHeight="1">
      <c r="N916" s="2"/>
    </row>
    <row r="917" ht="15.75" customHeight="1">
      <c r="N917" s="2"/>
    </row>
    <row r="918" ht="15.75" customHeight="1">
      <c r="N918" s="2"/>
    </row>
    <row r="919" ht="15.75" customHeight="1">
      <c r="N919" s="2"/>
    </row>
    <row r="920" ht="15.75" customHeight="1">
      <c r="N920" s="2"/>
    </row>
    <row r="921" ht="15.75" customHeight="1">
      <c r="N921" s="2"/>
    </row>
    <row r="922" ht="15.75" customHeight="1">
      <c r="N922" s="2"/>
    </row>
    <row r="923" ht="15.75" customHeight="1">
      <c r="N923" s="2"/>
    </row>
    <row r="924" ht="15.75" customHeight="1">
      <c r="N924" s="2"/>
    </row>
    <row r="925" ht="15.75" customHeight="1">
      <c r="N925" s="2"/>
    </row>
    <row r="926" ht="15.75" customHeight="1">
      <c r="N926" s="2"/>
    </row>
    <row r="927" ht="15.75" customHeight="1">
      <c r="N927" s="2"/>
    </row>
    <row r="928" ht="15.75" customHeight="1">
      <c r="N928" s="2"/>
    </row>
    <row r="929" ht="15.75" customHeight="1">
      <c r="N929" s="2"/>
    </row>
    <row r="930" ht="15.75" customHeight="1">
      <c r="N930" s="2"/>
    </row>
    <row r="931" ht="15.75" customHeight="1">
      <c r="N931" s="2"/>
    </row>
    <row r="932" ht="15.75" customHeight="1">
      <c r="N932" s="2"/>
    </row>
    <row r="933" ht="15.75" customHeight="1">
      <c r="N933" s="2"/>
    </row>
    <row r="934" ht="15.75" customHeight="1">
      <c r="N934" s="2"/>
    </row>
    <row r="935" ht="15.75" customHeight="1">
      <c r="N935" s="2"/>
    </row>
    <row r="936" ht="15.75" customHeight="1">
      <c r="N936" s="2"/>
    </row>
    <row r="937" ht="15.75" customHeight="1">
      <c r="N937" s="2"/>
    </row>
    <row r="938" ht="15.75" customHeight="1">
      <c r="N938" s="2"/>
    </row>
    <row r="939" ht="15.75" customHeight="1">
      <c r="N939" s="2"/>
    </row>
    <row r="940" ht="15.75" customHeight="1">
      <c r="N940" s="2"/>
    </row>
    <row r="941" ht="15.75" customHeight="1">
      <c r="N941" s="2"/>
    </row>
    <row r="942" ht="15.75" customHeight="1">
      <c r="N942" s="2"/>
    </row>
    <row r="943" ht="15.75" customHeight="1">
      <c r="N943" s="2"/>
    </row>
    <row r="944" ht="15.75" customHeight="1">
      <c r="N944" s="2"/>
    </row>
    <row r="945" ht="15.75" customHeight="1">
      <c r="N945" s="2"/>
    </row>
    <row r="946" ht="15.75" customHeight="1">
      <c r="N946" s="2"/>
    </row>
    <row r="947" ht="15.75" customHeight="1">
      <c r="N947" s="2"/>
    </row>
    <row r="948" ht="15.75" customHeight="1">
      <c r="N948" s="2"/>
    </row>
    <row r="949" ht="15.75" customHeight="1">
      <c r="N949" s="2"/>
    </row>
    <row r="950" ht="15.75" customHeight="1">
      <c r="N950" s="2"/>
    </row>
    <row r="951" ht="15.75" customHeight="1">
      <c r="N951" s="2"/>
    </row>
    <row r="952" ht="15.75" customHeight="1">
      <c r="N952" s="2"/>
    </row>
    <row r="953" ht="15.75" customHeight="1">
      <c r="N953" s="2"/>
    </row>
    <row r="954" ht="15.75" customHeight="1">
      <c r="N954" s="2"/>
    </row>
    <row r="955" ht="15.75" customHeight="1">
      <c r="N955" s="2"/>
    </row>
    <row r="956" ht="15.75" customHeight="1">
      <c r="N956" s="2"/>
    </row>
    <row r="957" ht="15.75" customHeight="1">
      <c r="N957" s="2"/>
    </row>
    <row r="958" ht="15.75" customHeight="1">
      <c r="N958" s="2"/>
    </row>
    <row r="959" ht="15.75" customHeight="1">
      <c r="N959" s="2"/>
    </row>
    <row r="960" ht="15.75" customHeight="1">
      <c r="N960" s="2"/>
    </row>
    <row r="961" ht="15.75" customHeight="1">
      <c r="N961" s="2"/>
    </row>
    <row r="962" ht="15.75" customHeight="1">
      <c r="N962" s="2"/>
    </row>
    <row r="963" ht="15.75" customHeight="1">
      <c r="N963" s="2"/>
    </row>
    <row r="964" ht="15.75" customHeight="1">
      <c r="N964" s="2"/>
    </row>
    <row r="965" ht="15.75" customHeight="1">
      <c r="N965" s="2"/>
    </row>
    <row r="966" ht="15.75" customHeight="1">
      <c r="N966" s="2"/>
    </row>
    <row r="967" ht="15.75" customHeight="1">
      <c r="N967" s="2"/>
    </row>
    <row r="968" ht="15.75" customHeight="1">
      <c r="N968" s="2"/>
    </row>
    <row r="969" ht="15.75" customHeight="1">
      <c r="N969" s="2"/>
    </row>
    <row r="970" ht="15.75" customHeight="1">
      <c r="N970" s="2"/>
    </row>
    <row r="971" ht="15.75" customHeight="1">
      <c r="N971" s="2"/>
    </row>
    <row r="972" ht="15.75" customHeight="1">
      <c r="N972" s="2"/>
    </row>
    <row r="973" ht="15.75" customHeight="1">
      <c r="N973" s="2"/>
    </row>
    <row r="974" ht="15.75" customHeight="1">
      <c r="N974" s="2"/>
    </row>
    <row r="975" ht="15.75" customHeight="1">
      <c r="N975" s="2"/>
    </row>
    <row r="976" ht="15.75" customHeight="1">
      <c r="N976" s="2"/>
    </row>
    <row r="977" ht="15.75" customHeight="1">
      <c r="N977" s="2"/>
    </row>
    <row r="978" ht="15.75" customHeight="1">
      <c r="N978" s="2"/>
    </row>
    <row r="979" ht="15.75" customHeight="1">
      <c r="N979" s="2"/>
    </row>
    <row r="980" ht="15.75" customHeight="1">
      <c r="N980" s="2"/>
    </row>
    <row r="981" ht="15.75" customHeight="1">
      <c r="N981" s="2"/>
    </row>
    <row r="982" ht="15.75" customHeight="1">
      <c r="N982" s="2"/>
    </row>
    <row r="983" ht="15.75" customHeight="1">
      <c r="N983" s="2"/>
    </row>
    <row r="984" ht="15.75" customHeight="1">
      <c r="N984" s="2"/>
    </row>
    <row r="985" ht="15.75" customHeight="1">
      <c r="N985" s="2"/>
    </row>
    <row r="986" ht="15.75" customHeight="1">
      <c r="N986" s="2"/>
    </row>
    <row r="987" ht="15.75" customHeight="1">
      <c r="N987" s="2"/>
    </row>
    <row r="988" ht="15.75" customHeight="1">
      <c r="N988" s="2"/>
    </row>
    <row r="989" ht="15.75" customHeight="1">
      <c r="N989" s="2"/>
    </row>
    <row r="990" ht="15.75" customHeight="1">
      <c r="N990" s="2"/>
    </row>
    <row r="991" ht="15.75" customHeight="1">
      <c r="N991" s="2"/>
    </row>
    <row r="992" ht="15.75" customHeight="1">
      <c r="N992" s="2"/>
    </row>
    <row r="993" ht="15.75" customHeight="1">
      <c r="N993" s="2"/>
    </row>
    <row r="994" ht="15.75" customHeight="1">
      <c r="N994" s="2"/>
    </row>
    <row r="995" ht="15.75" customHeight="1">
      <c r="N995" s="2"/>
    </row>
    <row r="996" ht="15.75" customHeight="1">
      <c r="N996" s="2"/>
    </row>
    <row r="997" ht="15.75" customHeight="1">
      <c r="N997" s="2"/>
    </row>
    <row r="998" ht="15.75" customHeight="1">
      <c r="N998" s="2"/>
    </row>
    <row r="999" ht="15.75" customHeight="1">
      <c r="N999" s="2"/>
    </row>
    <row r="1000" ht="15.75" customHeight="1">
      <c r="N1000" s="2"/>
    </row>
    <row r="1001" ht="15.75" customHeight="1">
      <c r="N1001" s="2"/>
    </row>
    <row r="1002" ht="15.75" customHeight="1">
      <c r="N1002" s="2"/>
    </row>
    <row r="1003" ht="15.75" customHeight="1">
      <c r="N1003" s="2"/>
    </row>
    <row r="1004" ht="15.75" customHeight="1">
      <c r="N1004" s="2"/>
    </row>
    <row r="1005" ht="15.75" customHeight="1">
      <c r="N1005" s="2"/>
    </row>
    <row r="1006" ht="15.75" customHeight="1">
      <c r="N1006" s="2"/>
    </row>
    <row r="1007" ht="15.75" customHeight="1">
      <c r="N1007" s="2"/>
    </row>
    <row r="1008" ht="15.75" customHeight="1">
      <c r="N1008" s="2"/>
    </row>
    <row r="1009" ht="15.75" customHeight="1">
      <c r="N1009" s="2"/>
    </row>
    <row r="1010" ht="15.75" customHeight="1">
      <c r="N1010" s="2"/>
    </row>
    <row r="1011" ht="15.75" customHeight="1">
      <c r="N1011" s="2"/>
    </row>
    <row r="1012" ht="15.75" customHeight="1">
      <c r="N1012" s="2"/>
    </row>
    <row r="1013" ht="15.75" customHeight="1">
      <c r="N1013" s="2"/>
    </row>
    <row r="1014" ht="15.75" customHeight="1">
      <c r="N1014" s="2"/>
    </row>
    <row r="1015" ht="15.75" customHeight="1">
      <c r="N1015" s="2"/>
    </row>
    <row r="1016" ht="15.75" customHeight="1">
      <c r="N1016" s="2"/>
    </row>
    <row r="1017" ht="15.75" customHeight="1">
      <c r="N1017" s="2"/>
    </row>
    <row r="1018" ht="15.75" customHeight="1">
      <c r="N1018" s="2"/>
    </row>
    <row r="1019" ht="15.75" customHeight="1">
      <c r="N1019" s="2"/>
    </row>
    <row r="1020" ht="15.75" customHeight="1">
      <c r="N1020" s="2"/>
    </row>
    <row r="1021" ht="15.75" customHeight="1">
      <c r="N1021" s="2"/>
    </row>
    <row r="1022" ht="15.75" customHeight="1">
      <c r="N1022" s="2"/>
    </row>
    <row r="1023" ht="15.75" customHeight="1">
      <c r="N1023" s="2"/>
    </row>
    <row r="1024" ht="15.75" customHeight="1">
      <c r="N1024" s="2"/>
    </row>
    <row r="1025" ht="15.75" customHeight="1">
      <c r="N1025" s="2"/>
    </row>
    <row r="1026" ht="15.75" customHeight="1">
      <c r="N1026" s="2"/>
    </row>
  </sheetData>
  <mergeCells count="44">
    <mergeCell ref="D12:K12"/>
    <mergeCell ref="D15:K15"/>
    <mergeCell ref="B2:B11"/>
    <mergeCell ref="C2:C11"/>
    <mergeCell ref="D2:K2"/>
    <mergeCell ref="D6:K6"/>
    <mergeCell ref="D9:K9"/>
    <mergeCell ref="C12:C20"/>
    <mergeCell ref="D18:K18"/>
    <mergeCell ref="D21:K21"/>
    <mergeCell ref="D24:K24"/>
    <mergeCell ref="D27:K27"/>
    <mergeCell ref="D30:K30"/>
    <mergeCell ref="D33:K33"/>
    <mergeCell ref="D36:K36"/>
    <mergeCell ref="D39:K39"/>
    <mergeCell ref="B48:B56"/>
    <mergeCell ref="C48:C56"/>
    <mergeCell ref="B57:B65"/>
    <mergeCell ref="C57:C65"/>
    <mergeCell ref="B66:B73"/>
    <mergeCell ref="C66:C73"/>
    <mergeCell ref="B74:B81"/>
    <mergeCell ref="C74:C81"/>
    <mergeCell ref="B12:B20"/>
    <mergeCell ref="B21:B29"/>
    <mergeCell ref="C21:C29"/>
    <mergeCell ref="B30:B38"/>
    <mergeCell ref="C30:C38"/>
    <mergeCell ref="B39:B47"/>
    <mergeCell ref="C39:C47"/>
    <mergeCell ref="D63:K63"/>
    <mergeCell ref="D66:K66"/>
    <mergeCell ref="D70:K70"/>
    <mergeCell ref="D74:K74"/>
    <mergeCell ref="D77:K77"/>
    <mergeCell ref="D79:K79"/>
    <mergeCell ref="D42:K42"/>
    <mergeCell ref="D45:K45"/>
    <mergeCell ref="D48:K48"/>
    <mergeCell ref="D51:K51"/>
    <mergeCell ref="D54:K54"/>
    <mergeCell ref="D57:K57"/>
    <mergeCell ref="D60:K60"/>
  </mergeCells>
  <conditionalFormatting sqref="H3:H5 H7:H8 H10:H11 H13:H14 H16:H17 H19:H20 H22:H23 H25:H26 H28:H29 H31:H32 H34:H35 H37:H38 H40:H41 H43:H44 H46:H47 H49:H50 H52:H53 H55:H56 H58:H59 H61:H62 H64:H65 H67:H69 H71:H73 H75:H76 H78 H80:H81">
    <cfRule type="expression" dxfId="4" priority="1">
      <formula>$H3="SÍ"</formula>
    </cfRule>
  </conditionalFormatting>
  <conditionalFormatting sqref="H3:H5 H7:H8 H10:H11 H13:H14 H16:H17 H19:H20 H22:H23 H25:H26 H28:H29 H31:H32 H34:H35 H37:H38 H40:H41 H43:H44 H46:H47 H49:H50 H52:H53 H55:H56 H58:H59 H61:H62 H64:H65 H67:H69 H71:H73 H75:H76 H78 H80:H81">
    <cfRule type="expression" dxfId="5" priority="2">
      <formula>$H3="NO"</formula>
    </cfRule>
  </conditionalFormatting>
  <conditionalFormatting sqref="H3:H5 H7:H8 H10:H11 H13:H14 H16:H17 H19:H20 H22:H23 H25:H26 H28:H29 H31:H32 H34:H35 H37:H38 H40:H41 H43:H44 H46:H47 H49:H50 H52:H53 H55:H56 H58:H59 H61:H62 H64:H65 H67:H69 H71:H73 H75:H76 H78 H80:H81">
    <cfRule type="expression" dxfId="6" priority="3">
      <formula>$H3="Pendiente"</formula>
    </cfRule>
  </conditionalFormatting>
  <conditionalFormatting sqref="I3:I5 I7:I8 I10:I11 I13:I14 I16:I17 I19:I20 I22:I23 I25:I26 I28:I29 I31:I32 I34:I35 I37:I38 I40:I41 I43:I44 I46:I47 I49:I50 I52:I53 I55:I56 I58:I59 I61:I62 I64:I65 I67:I69 I71:I73 I75:I76 I78 I80:I81">
    <cfRule type="expression" dxfId="4" priority="4">
      <formula>$I3="Completado"</formula>
    </cfRule>
  </conditionalFormatting>
  <conditionalFormatting sqref="I3:I5 I7:I8 I10:I11 I13:I14 I16:I17 I19:I20 I22:I23 I25:I26 I28:I29 I31:I32 I34:I35 I37:I38 I40:I41 I43:I44 I46:I47 I49:I50 I52:I53 I55:I56 I58:I59 I61:I62 I64:I65 I67:I69 I71:I73 I75:I76 I78 I80:I81">
    <cfRule type="expression" dxfId="5" priority="5">
      <formula>$I3="Acción Pendiente"</formula>
    </cfRule>
  </conditionalFormatting>
  <conditionalFormatting sqref="I3:I5 I7:I8 I10:I11 I13:I14 I16:I17 I19:I20 I22:I23 I25:I26 I28:I29 I31:I32 I34:I35 I37:I38 I40:I41 I43:I44 I46:I47 I49:I50 I52:I53 I55:I56 I58:I59 I61:I62 I64:I65 I67:I69 I71:I73 I75:I76 I78 I80:I81">
    <cfRule type="expression" dxfId="6" priority="6">
      <formula>$I3="Revisión Pendiente"</formula>
    </cfRule>
  </conditionalFormatting>
  <dataValidations>
    <dataValidation type="list" allowBlank="1" sqref="H3:H5 H7:H8 H10:H11 H13:H14 H16:H17 H19:H20 H22:H23 H25:H26 H28:H29 H31:H32 H34:H35 H37:H38 H40:H41 H43:H44 H46:H47 H49:H50 H52:H53 H55:H56 H58:H59 H61:H62 H64:H65 H67:H69 H71:H73 H75:H76 H78 H80:H81">
      <formula1>Listas!$A$2:$A$5</formula1>
    </dataValidation>
  </dataValidations>
  <hyperlinks>
    <hyperlink r:id="rId1" ref="N3"/>
    <hyperlink r:id="rId2" ref="N4"/>
    <hyperlink r:id="rId3" ref="N5"/>
    <hyperlink r:id="rId4" ref="L10"/>
    <hyperlink r:id="rId5" ref="L11"/>
    <hyperlink r:id="rId6" ref="L19"/>
    <hyperlink r:id="rId7" ref="L20"/>
    <hyperlink r:id="rId8" ref="L31"/>
    <hyperlink r:id="rId9" ref="L32"/>
    <hyperlink r:id="rId10" ref="L37"/>
    <hyperlink r:id="rId11" ref="L43"/>
    <hyperlink r:id="rId12" ref="L44"/>
    <hyperlink r:id="rId13" ref="L46"/>
    <hyperlink r:id="rId14" location="heading=h.aav6at63pklu" ref="L47"/>
    <hyperlink r:id="rId15" ref="L64"/>
    <hyperlink r:id="rId16" ref="L80"/>
  </hyperlinks>
  <printOptions/>
  <pageMargins bottom="0.75" footer="0.0" header="0.0" left="0.7" right="0.7" top="0.75"/>
  <pageSetup orientation="landscape"/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38"/>
    <col customWidth="1" min="2" max="2" width="11.63"/>
    <col customWidth="1" min="3" max="3" width="20.38"/>
    <col customWidth="1" min="4" max="4" width="37.38"/>
    <col customWidth="1" min="6" max="6" width="16.25"/>
    <col customWidth="1" min="8" max="8" width="20.5"/>
    <col customWidth="1" min="9" max="9" width="15.75"/>
    <col customWidth="1" min="10" max="10" width="19.13"/>
  </cols>
  <sheetData>
    <row r="1" ht="34.5" customHeight="1">
      <c r="A1" s="355" t="s">
        <v>530</v>
      </c>
      <c r="B1" s="355" t="s">
        <v>4</v>
      </c>
      <c r="C1" s="355" t="s">
        <v>1042</v>
      </c>
      <c r="D1" s="355" t="s">
        <v>1043</v>
      </c>
      <c r="E1" s="355" t="s">
        <v>4</v>
      </c>
      <c r="F1" s="355" t="s">
        <v>1044</v>
      </c>
      <c r="G1" s="355" t="s">
        <v>1045</v>
      </c>
      <c r="H1" s="355" t="s">
        <v>21</v>
      </c>
      <c r="I1" s="355" t="s">
        <v>1046</v>
      </c>
      <c r="J1" s="355" t="s">
        <v>1047</v>
      </c>
      <c r="K1" s="2"/>
    </row>
    <row r="2" ht="45.0" customHeight="1">
      <c r="A2" s="356" t="s">
        <v>1048</v>
      </c>
      <c r="B2" s="356" t="s">
        <v>1049</v>
      </c>
      <c r="C2" s="357" t="s">
        <v>1050</v>
      </c>
      <c r="D2" s="357" t="s">
        <v>1051</v>
      </c>
      <c r="E2" s="5" t="s">
        <v>38</v>
      </c>
      <c r="F2" s="50" t="s">
        <v>42</v>
      </c>
      <c r="G2" s="358">
        <v>11.0</v>
      </c>
      <c r="H2" s="50" t="s">
        <v>284</v>
      </c>
      <c r="I2" s="50" t="s">
        <v>68</v>
      </c>
      <c r="J2" s="50" t="s">
        <v>1052</v>
      </c>
      <c r="K2" s="2"/>
    </row>
    <row r="3" ht="45.0" customHeight="1">
      <c r="A3" s="59"/>
      <c r="B3" s="59"/>
      <c r="C3" s="59"/>
      <c r="D3" s="59"/>
      <c r="E3" s="5" t="s">
        <v>65</v>
      </c>
      <c r="F3" s="50" t="s">
        <v>1053</v>
      </c>
      <c r="G3" s="359">
        <v>0.59</v>
      </c>
      <c r="H3" s="50" t="s">
        <v>284</v>
      </c>
      <c r="I3" s="50" t="s">
        <v>68</v>
      </c>
      <c r="J3" s="50" t="s">
        <v>146</v>
      </c>
      <c r="K3" s="2"/>
    </row>
    <row r="4" ht="45.0" customHeight="1">
      <c r="A4" s="59"/>
      <c r="B4" s="85"/>
      <c r="C4" s="85"/>
      <c r="D4" s="85"/>
      <c r="E4" s="50" t="s">
        <v>1054</v>
      </c>
      <c r="F4" s="50" t="s">
        <v>114</v>
      </c>
      <c r="G4" s="50" t="s">
        <v>116</v>
      </c>
      <c r="H4" s="50" t="s">
        <v>284</v>
      </c>
      <c r="I4" s="50" t="s">
        <v>68</v>
      </c>
      <c r="J4" s="50" t="s">
        <v>1055</v>
      </c>
      <c r="K4" s="2"/>
    </row>
    <row r="5" ht="45.0" customHeight="1">
      <c r="A5" s="59"/>
      <c r="B5" s="356" t="s">
        <v>1056</v>
      </c>
      <c r="C5" s="360" t="s">
        <v>1057</v>
      </c>
      <c r="D5" s="357" t="s">
        <v>1058</v>
      </c>
      <c r="E5" s="5" t="s">
        <v>38</v>
      </c>
      <c r="F5" s="50" t="s">
        <v>42</v>
      </c>
      <c r="G5" s="358">
        <v>11.0</v>
      </c>
      <c r="H5" s="50" t="s">
        <v>284</v>
      </c>
      <c r="I5" s="50" t="s">
        <v>68</v>
      </c>
      <c r="J5" s="50" t="s">
        <v>1052</v>
      </c>
      <c r="K5" s="2"/>
    </row>
    <row r="6" ht="45.0" customHeight="1">
      <c r="A6" s="59"/>
      <c r="B6" s="59"/>
      <c r="C6" s="59"/>
      <c r="D6" s="59"/>
      <c r="E6" s="5" t="s">
        <v>1059</v>
      </c>
      <c r="F6" s="50" t="s">
        <v>1060</v>
      </c>
      <c r="G6" s="5">
        <v>12.0</v>
      </c>
      <c r="H6" s="50" t="s">
        <v>1061</v>
      </c>
      <c r="I6" s="50" t="s">
        <v>171</v>
      </c>
      <c r="J6" s="50" t="s">
        <v>416</v>
      </c>
      <c r="K6" s="2"/>
    </row>
    <row r="7" ht="45.0" customHeight="1">
      <c r="A7" s="59"/>
      <c r="B7" s="85"/>
      <c r="C7" s="85"/>
      <c r="D7" s="85"/>
      <c r="E7" s="5" t="s">
        <v>1062</v>
      </c>
      <c r="F7" s="50" t="s">
        <v>1063</v>
      </c>
      <c r="G7" s="12">
        <v>0.55</v>
      </c>
      <c r="H7" s="50" t="s">
        <v>1061</v>
      </c>
      <c r="I7" s="50" t="s">
        <v>171</v>
      </c>
      <c r="J7" s="50" t="s">
        <v>421</v>
      </c>
      <c r="K7" s="2"/>
    </row>
    <row r="8" ht="57.0" customHeight="1">
      <c r="A8" s="59"/>
      <c r="B8" s="361" t="s">
        <v>1064</v>
      </c>
      <c r="C8" s="357" t="s">
        <v>1065</v>
      </c>
      <c r="D8" s="357" t="s">
        <v>1066</v>
      </c>
      <c r="E8" s="50" t="s">
        <v>93</v>
      </c>
      <c r="F8" s="50" t="s">
        <v>95</v>
      </c>
      <c r="G8" s="50">
        <v>20.0</v>
      </c>
      <c r="H8" s="50" t="s">
        <v>1061</v>
      </c>
      <c r="I8" s="50" t="s">
        <v>171</v>
      </c>
      <c r="J8" s="50" t="s">
        <v>170</v>
      </c>
      <c r="K8" s="2"/>
    </row>
    <row r="9" ht="57.0" customHeight="1">
      <c r="A9" s="59"/>
      <c r="B9" s="85"/>
      <c r="C9" s="85"/>
      <c r="D9" s="85"/>
      <c r="E9" s="50" t="s">
        <v>202</v>
      </c>
      <c r="F9" s="50" t="s">
        <v>1067</v>
      </c>
      <c r="G9" s="359">
        <v>0.1</v>
      </c>
      <c r="H9" s="50" t="s">
        <v>1061</v>
      </c>
      <c r="I9" s="50" t="s">
        <v>171</v>
      </c>
      <c r="J9" s="50" t="s">
        <v>170</v>
      </c>
      <c r="K9" s="2"/>
    </row>
    <row r="10" ht="57.0" customHeight="1">
      <c r="A10" s="59"/>
      <c r="B10" s="356" t="s">
        <v>1068</v>
      </c>
      <c r="C10" s="360" t="s">
        <v>1069</v>
      </c>
      <c r="D10" s="357" t="s">
        <v>1070</v>
      </c>
      <c r="E10" s="50" t="s">
        <v>1071</v>
      </c>
      <c r="F10" s="50" t="s">
        <v>42</v>
      </c>
      <c r="G10" s="358">
        <v>11.0</v>
      </c>
      <c r="H10" s="50" t="s">
        <v>284</v>
      </c>
      <c r="I10" s="50" t="s">
        <v>68</v>
      </c>
      <c r="J10" s="50" t="s">
        <v>1052</v>
      </c>
      <c r="K10" s="2"/>
    </row>
    <row r="11" ht="57.0" customHeight="1">
      <c r="A11" s="59"/>
      <c r="B11" s="85"/>
      <c r="C11" s="85"/>
      <c r="D11" s="85"/>
      <c r="E11" s="50" t="s">
        <v>1072</v>
      </c>
      <c r="F11" s="50" t="s">
        <v>1053</v>
      </c>
      <c r="G11" s="359">
        <v>0.59</v>
      </c>
      <c r="H11" s="50" t="s">
        <v>284</v>
      </c>
      <c r="I11" s="50" t="s">
        <v>68</v>
      </c>
      <c r="J11" s="50" t="s">
        <v>146</v>
      </c>
      <c r="K11" s="2"/>
    </row>
    <row r="12" ht="42.75" customHeight="1">
      <c r="A12" s="59"/>
      <c r="B12" s="356" t="s">
        <v>1073</v>
      </c>
      <c r="C12" s="362" t="s">
        <v>1074</v>
      </c>
      <c r="D12" s="363" t="s">
        <v>1075</v>
      </c>
      <c r="E12" s="50" t="s">
        <v>1072</v>
      </c>
      <c r="F12" s="50" t="s">
        <v>1053</v>
      </c>
      <c r="G12" s="359">
        <v>0.59</v>
      </c>
      <c r="H12" s="50" t="s">
        <v>284</v>
      </c>
      <c r="I12" s="50" t="s">
        <v>68</v>
      </c>
      <c r="J12" s="50" t="s">
        <v>146</v>
      </c>
      <c r="K12" s="2"/>
    </row>
    <row r="13" ht="42.75" customHeight="1">
      <c r="A13" s="59"/>
      <c r="B13" s="59"/>
      <c r="C13" s="59"/>
      <c r="D13" s="59"/>
      <c r="E13" s="5" t="s">
        <v>257</v>
      </c>
      <c r="F13" s="50" t="s">
        <v>1060</v>
      </c>
      <c r="G13" s="5">
        <v>12.0</v>
      </c>
      <c r="H13" s="50" t="s">
        <v>1061</v>
      </c>
      <c r="I13" s="50" t="s">
        <v>171</v>
      </c>
      <c r="J13" s="50" t="s">
        <v>416</v>
      </c>
      <c r="K13" s="2"/>
    </row>
    <row r="14" ht="42.75" customHeight="1">
      <c r="A14" s="59"/>
      <c r="B14" s="85"/>
      <c r="C14" s="85"/>
      <c r="D14" s="85"/>
      <c r="E14" s="5" t="s">
        <v>246</v>
      </c>
      <c r="F14" s="50" t="s">
        <v>1063</v>
      </c>
      <c r="G14" s="12">
        <v>0.55</v>
      </c>
      <c r="H14" s="50" t="s">
        <v>1061</v>
      </c>
      <c r="I14" s="50" t="s">
        <v>171</v>
      </c>
      <c r="J14" s="50" t="s">
        <v>421</v>
      </c>
      <c r="K14" s="2"/>
    </row>
    <row r="15" ht="53.25" customHeight="1">
      <c r="A15" s="59"/>
      <c r="B15" s="356" t="s">
        <v>1076</v>
      </c>
      <c r="C15" s="360" t="s">
        <v>1077</v>
      </c>
      <c r="D15" s="357" t="s">
        <v>1078</v>
      </c>
      <c r="E15" s="50" t="s">
        <v>1072</v>
      </c>
      <c r="F15" s="50" t="s">
        <v>1053</v>
      </c>
      <c r="G15" s="359">
        <v>0.59</v>
      </c>
      <c r="H15" s="50" t="s">
        <v>284</v>
      </c>
      <c r="I15" s="50" t="s">
        <v>68</v>
      </c>
      <c r="J15" s="50" t="s">
        <v>146</v>
      </c>
      <c r="K15" s="2"/>
    </row>
    <row r="16" ht="53.25" customHeight="1">
      <c r="A16" s="85"/>
      <c r="B16" s="85"/>
      <c r="C16" s="85"/>
      <c r="D16" s="85"/>
      <c r="E16" s="50" t="s">
        <v>202</v>
      </c>
      <c r="F16" s="50" t="s">
        <v>1067</v>
      </c>
      <c r="G16" s="359">
        <v>0.1</v>
      </c>
      <c r="H16" s="50" t="s">
        <v>1061</v>
      </c>
      <c r="I16" s="50" t="s">
        <v>171</v>
      </c>
      <c r="J16" s="50" t="s">
        <v>170</v>
      </c>
      <c r="K16" s="2"/>
    </row>
    <row r="17" ht="53.25" customHeight="1">
      <c r="A17" s="356" t="s">
        <v>1079</v>
      </c>
      <c r="B17" s="356" t="s">
        <v>1080</v>
      </c>
      <c r="C17" s="360" t="s">
        <v>1081</v>
      </c>
      <c r="D17" s="357" t="s">
        <v>1082</v>
      </c>
      <c r="E17" s="50" t="s">
        <v>172</v>
      </c>
      <c r="F17" s="50" t="s">
        <v>173</v>
      </c>
      <c r="G17" s="359">
        <v>0.85</v>
      </c>
      <c r="H17" s="50" t="s">
        <v>284</v>
      </c>
      <c r="I17" s="50" t="s">
        <v>68</v>
      </c>
      <c r="J17" s="50" t="s">
        <v>262</v>
      </c>
      <c r="K17" s="2"/>
    </row>
    <row r="18" ht="53.25" customHeight="1">
      <c r="A18" s="59"/>
      <c r="B18" s="85"/>
      <c r="C18" s="85"/>
      <c r="D18" s="85"/>
      <c r="E18" s="50" t="s">
        <v>165</v>
      </c>
      <c r="F18" s="50" t="s">
        <v>1083</v>
      </c>
      <c r="G18" s="359">
        <v>0.95</v>
      </c>
      <c r="H18" s="50" t="s">
        <v>284</v>
      </c>
      <c r="I18" s="50" t="s">
        <v>68</v>
      </c>
      <c r="J18" s="50" t="s">
        <v>1084</v>
      </c>
      <c r="K18" s="2"/>
    </row>
    <row r="19" ht="54.0" customHeight="1">
      <c r="A19" s="59"/>
      <c r="B19" s="356" t="s">
        <v>1085</v>
      </c>
      <c r="C19" s="360" t="s">
        <v>1086</v>
      </c>
      <c r="D19" s="357" t="s">
        <v>1087</v>
      </c>
      <c r="E19" s="50" t="s">
        <v>129</v>
      </c>
      <c r="F19" s="50" t="s">
        <v>130</v>
      </c>
      <c r="G19" s="364">
        <v>46026.0</v>
      </c>
      <c r="H19" s="50" t="s">
        <v>284</v>
      </c>
      <c r="I19" s="50" t="s">
        <v>68</v>
      </c>
      <c r="J19" s="50" t="s">
        <v>1088</v>
      </c>
      <c r="K19" s="2"/>
    </row>
    <row r="20" ht="54.0" customHeight="1">
      <c r="A20" s="59"/>
      <c r="B20" s="85"/>
      <c r="C20" s="85"/>
      <c r="D20" s="85"/>
      <c r="E20" s="50" t="s">
        <v>172</v>
      </c>
      <c r="F20" s="50" t="s">
        <v>173</v>
      </c>
      <c r="G20" s="359">
        <v>0.85</v>
      </c>
      <c r="H20" s="50" t="s">
        <v>284</v>
      </c>
      <c r="I20" s="50" t="s">
        <v>68</v>
      </c>
      <c r="J20" s="50" t="s">
        <v>262</v>
      </c>
      <c r="K20" s="2"/>
    </row>
    <row r="21" ht="54.0" customHeight="1">
      <c r="A21" s="59"/>
      <c r="B21" s="356" t="s">
        <v>1089</v>
      </c>
      <c r="C21" s="360" t="s">
        <v>1090</v>
      </c>
      <c r="D21" s="357" t="s">
        <v>1091</v>
      </c>
      <c r="E21" s="50" t="s">
        <v>129</v>
      </c>
      <c r="F21" s="50" t="s">
        <v>130</v>
      </c>
      <c r="G21" s="364">
        <v>46026.0</v>
      </c>
      <c r="H21" s="50" t="s">
        <v>284</v>
      </c>
      <c r="I21" s="50" t="s">
        <v>68</v>
      </c>
      <c r="J21" s="50" t="s">
        <v>1088</v>
      </c>
      <c r="K21" s="2"/>
    </row>
    <row r="22" ht="54.0" customHeight="1">
      <c r="A22" s="85"/>
      <c r="B22" s="85"/>
      <c r="C22" s="85"/>
      <c r="D22" s="85"/>
      <c r="E22" s="50" t="s">
        <v>151</v>
      </c>
      <c r="F22" s="50" t="s">
        <v>153</v>
      </c>
      <c r="G22" s="359">
        <v>0.7</v>
      </c>
      <c r="H22" s="50" t="s">
        <v>284</v>
      </c>
      <c r="I22" s="50" t="s">
        <v>68</v>
      </c>
      <c r="J22" s="358" t="s">
        <v>242</v>
      </c>
      <c r="K22" s="2"/>
    </row>
    <row r="23" ht="101.25" customHeight="1">
      <c r="A23" s="361" t="s">
        <v>1092</v>
      </c>
      <c r="B23" s="5" t="s">
        <v>1093</v>
      </c>
      <c r="C23" s="365" t="s">
        <v>1094</v>
      </c>
      <c r="D23" s="151" t="s">
        <v>1095</v>
      </c>
      <c r="E23" s="50" t="s">
        <v>1096</v>
      </c>
      <c r="F23" s="50" t="s">
        <v>1097</v>
      </c>
      <c r="G23" s="359">
        <v>0.8</v>
      </c>
      <c r="H23" s="50" t="s">
        <v>1098</v>
      </c>
      <c r="I23" s="50" t="s">
        <v>309</v>
      </c>
      <c r="J23" s="50" t="s">
        <v>1099</v>
      </c>
      <c r="K23" s="2"/>
    </row>
    <row r="24" ht="52.5" customHeight="1">
      <c r="A24" s="59"/>
      <c r="B24" s="356" t="s">
        <v>1100</v>
      </c>
      <c r="C24" s="360" t="s">
        <v>1101</v>
      </c>
      <c r="D24" s="357" t="s">
        <v>1102</v>
      </c>
      <c r="E24" s="50" t="s">
        <v>199</v>
      </c>
      <c r="F24" s="50" t="s">
        <v>200</v>
      </c>
      <c r="G24" s="359">
        <v>0.82</v>
      </c>
      <c r="H24" s="50" t="s">
        <v>1098</v>
      </c>
      <c r="I24" s="50" t="s">
        <v>309</v>
      </c>
      <c r="J24" s="358" t="s">
        <v>308</v>
      </c>
      <c r="K24" s="2"/>
    </row>
    <row r="25" ht="56.25" customHeight="1">
      <c r="A25" s="59"/>
      <c r="B25" s="85"/>
      <c r="C25" s="85"/>
      <c r="D25" s="85"/>
      <c r="E25" s="50" t="s">
        <v>1096</v>
      </c>
      <c r="F25" s="50" t="s">
        <v>1097</v>
      </c>
      <c r="G25" s="359">
        <v>0.8</v>
      </c>
      <c r="H25" s="50" t="s">
        <v>1098</v>
      </c>
      <c r="I25" s="50" t="s">
        <v>309</v>
      </c>
      <c r="J25" s="50" t="s">
        <v>1099</v>
      </c>
      <c r="K25" s="2"/>
    </row>
    <row r="26" ht="53.25" customHeight="1">
      <c r="A26" s="59"/>
      <c r="B26" s="356" t="s">
        <v>1103</v>
      </c>
      <c r="C26" s="360" t="s">
        <v>1104</v>
      </c>
      <c r="D26" s="357" t="s">
        <v>1105</v>
      </c>
      <c r="E26" s="50" t="s">
        <v>1106</v>
      </c>
      <c r="F26" s="50" t="s">
        <v>1107</v>
      </c>
      <c r="G26" s="359">
        <v>0.7</v>
      </c>
      <c r="H26" s="50" t="s">
        <v>1108</v>
      </c>
      <c r="I26" s="50" t="s">
        <v>344</v>
      </c>
      <c r="J26" s="358" t="s">
        <v>343</v>
      </c>
      <c r="K26" s="2"/>
    </row>
    <row r="27" ht="60.75" customHeight="1">
      <c r="A27" s="85"/>
      <c r="B27" s="85"/>
      <c r="C27" s="85"/>
      <c r="D27" s="85"/>
      <c r="E27" s="50" t="s">
        <v>260</v>
      </c>
      <c r="F27" s="50" t="s">
        <v>1109</v>
      </c>
      <c r="G27" s="50" t="s">
        <v>1110</v>
      </c>
      <c r="H27" s="50" t="s">
        <v>1108</v>
      </c>
      <c r="I27" s="50" t="s">
        <v>344</v>
      </c>
      <c r="J27" s="358" t="s">
        <v>343</v>
      </c>
      <c r="K27" s="2"/>
    </row>
    <row r="28" ht="51.75" customHeight="1">
      <c r="A28" s="361" t="s">
        <v>1111</v>
      </c>
      <c r="B28" s="361" t="s">
        <v>1112</v>
      </c>
      <c r="C28" s="360" t="s">
        <v>1113</v>
      </c>
      <c r="D28" s="357" t="s">
        <v>1114</v>
      </c>
      <c r="E28" s="50" t="s">
        <v>1115</v>
      </c>
      <c r="F28" s="50" t="s">
        <v>1116</v>
      </c>
      <c r="G28" s="366">
        <v>0.999</v>
      </c>
      <c r="H28" s="50" t="s">
        <v>868</v>
      </c>
      <c r="I28" s="50" t="s">
        <v>380</v>
      </c>
      <c r="J28" s="50" t="s">
        <v>379</v>
      </c>
      <c r="K28" s="2"/>
    </row>
    <row r="29" ht="51.75" customHeight="1">
      <c r="A29" s="59"/>
      <c r="B29" s="85"/>
      <c r="C29" s="85"/>
      <c r="D29" s="85"/>
      <c r="E29" s="50" t="s">
        <v>101</v>
      </c>
      <c r="F29" s="50" t="s">
        <v>1117</v>
      </c>
      <c r="G29" s="50">
        <v>10.0</v>
      </c>
      <c r="H29" s="50" t="s">
        <v>868</v>
      </c>
      <c r="I29" s="50" t="s">
        <v>380</v>
      </c>
      <c r="J29" s="50" t="s">
        <v>399</v>
      </c>
      <c r="K29" s="2"/>
    </row>
    <row r="30" ht="51.75" customHeight="1">
      <c r="A30" s="59"/>
      <c r="B30" s="361" t="s">
        <v>1118</v>
      </c>
      <c r="C30" s="360" t="s">
        <v>1119</v>
      </c>
      <c r="D30" s="357" t="s">
        <v>1120</v>
      </c>
      <c r="E30" s="50" t="s">
        <v>1115</v>
      </c>
      <c r="F30" s="50" t="s">
        <v>1116</v>
      </c>
      <c r="G30" s="366">
        <v>0.999</v>
      </c>
      <c r="H30" s="50" t="s">
        <v>868</v>
      </c>
      <c r="I30" s="50" t="s">
        <v>380</v>
      </c>
      <c r="J30" s="50" t="s">
        <v>379</v>
      </c>
      <c r="K30" s="2"/>
    </row>
    <row r="31" ht="51.75" customHeight="1">
      <c r="A31" s="59"/>
      <c r="B31" s="85"/>
      <c r="C31" s="85"/>
      <c r="D31" s="85"/>
      <c r="E31" s="50" t="s">
        <v>186</v>
      </c>
      <c r="F31" s="50" t="s">
        <v>1121</v>
      </c>
      <c r="G31" s="50">
        <v>0.0</v>
      </c>
      <c r="H31" s="50" t="s">
        <v>868</v>
      </c>
      <c r="I31" s="50" t="s">
        <v>380</v>
      </c>
      <c r="J31" s="50" t="s">
        <v>390</v>
      </c>
      <c r="K31" s="2"/>
    </row>
    <row r="32" ht="47.25" customHeight="1">
      <c r="A32" s="59"/>
      <c r="B32" s="361" t="s">
        <v>1122</v>
      </c>
      <c r="C32" s="360" t="s">
        <v>1123</v>
      </c>
      <c r="D32" s="357" t="s">
        <v>1124</v>
      </c>
      <c r="E32" s="50" t="s">
        <v>101</v>
      </c>
      <c r="F32" s="50" t="s">
        <v>1117</v>
      </c>
      <c r="G32" s="50">
        <v>10.0</v>
      </c>
      <c r="H32" s="50" t="s">
        <v>868</v>
      </c>
      <c r="I32" s="50" t="s">
        <v>380</v>
      </c>
      <c r="J32" s="50" t="s">
        <v>399</v>
      </c>
      <c r="K32" s="2"/>
    </row>
    <row r="33" ht="47.25" customHeight="1">
      <c r="A33" s="85"/>
      <c r="B33" s="85"/>
      <c r="C33" s="85"/>
      <c r="D33" s="85"/>
      <c r="E33" s="50" t="s">
        <v>190</v>
      </c>
      <c r="F33" s="50" t="s">
        <v>1125</v>
      </c>
      <c r="G33" s="50" t="s">
        <v>116</v>
      </c>
      <c r="H33" s="50" t="s">
        <v>868</v>
      </c>
      <c r="I33" s="50" t="s">
        <v>380</v>
      </c>
      <c r="J33" s="358" t="s">
        <v>404</v>
      </c>
      <c r="K33" s="2"/>
    </row>
    <row r="34" ht="56.25" customHeight="1">
      <c r="A34" s="357" t="s">
        <v>1126</v>
      </c>
      <c r="B34" s="356" t="s">
        <v>1127</v>
      </c>
      <c r="C34" s="360" t="s">
        <v>1128</v>
      </c>
      <c r="D34" s="357" t="s">
        <v>1129</v>
      </c>
      <c r="E34" s="50" t="s">
        <v>1130</v>
      </c>
      <c r="F34" s="50" t="s">
        <v>1060</v>
      </c>
      <c r="G34" s="50">
        <v>12.0</v>
      </c>
      <c r="H34" s="50" t="s">
        <v>1061</v>
      </c>
      <c r="I34" s="50" t="s">
        <v>171</v>
      </c>
      <c r="J34" s="50" t="s">
        <v>416</v>
      </c>
      <c r="K34" s="2"/>
    </row>
    <row r="35" ht="56.25" customHeight="1">
      <c r="A35" s="59"/>
      <c r="B35" s="85"/>
      <c r="C35" s="85"/>
      <c r="D35" s="85"/>
      <c r="E35" s="50" t="s">
        <v>246</v>
      </c>
      <c r="F35" s="50" t="s">
        <v>1063</v>
      </c>
      <c r="G35" s="359">
        <v>0.55</v>
      </c>
      <c r="H35" s="50" t="s">
        <v>1061</v>
      </c>
      <c r="I35" s="50" t="s">
        <v>171</v>
      </c>
      <c r="J35" s="50" t="s">
        <v>421</v>
      </c>
      <c r="K35" s="2"/>
    </row>
    <row r="36" ht="47.25" customHeight="1">
      <c r="A36" s="59"/>
      <c r="B36" s="356" t="s">
        <v>1131</v>
      </c>
      <c r="C36" s="360" t="s">
        <v>1132</v>
      </c>
      <c r="D36" s="357" t="s">
        <v>1133</v>
      </c>
      <c r="E36" s="50" t="s">
        <v>1130</v>
      </c>
      <c r="F36" s="50" t="s">
        <v>1060</v>
      </c>
      <c r="G36" s="50">
        <v>12.0</v>
      </c>
      <c r="H36" s="50" t="s">
        <v>1061</v>
      </c>
      <c r="I36" s="50" t="s">
        <v>171</v>
      </c>
      <c r="J36" s="50" t="s">
        <v>416</v>
      </c>
      <c r="K36" s="2"/>
    </row>
    <row r="37" ht="47.25" customHeight="1">
      <c r="A37" s="59"/>
      <c r="B37" s="85"/>
      <c r="C37" s="85"/>
      <c r="D37" s="85"/>
      <c r="E37" s="50" t="s">
        <v>246</v>
      </c>
      <c r="F37" s="50" t="s">
        <v>1063</v>
      </c>
      <c r="G37" s="359">
        <v>0.55</v>
      </c>
      <c r="H37" s="50" t="s">
        <v>1061</v>
      </c>
      <c r="I37" s="50" t="s">
        <v>171</v>
      </c>
      <c r="J37" s="50" t="s">
        <v>421</v>
      </c>
      <c r="K37" s="2"/>
    </row>
    <row r="38" ht="48.0" customHeight="1">
      <c r="A38" s="59"/>
      <c r="B38" s="356" t="s">
        <v>1134</v>
      </c>
      <c r="C38" s="360" t="s">
        <v>1135</v>
      </c>
      <c r="D38" s="357" t="s">
        <v>1136</v>
      </c>
      <c r="E38" s="50" t="s">
        <v>246</v>
      </c>
      <c r="F38" s="50" t="s">
        <v>1063</v>
      </c>
      <c r="G38" s="359">
        <v>0.55</v>
      </c>
      <c r="H38" s="50" t="s">
        <v>1061</v>
      </c>
      <c r="I38" s="50" t="s">
        <v>171</v>
      </c>
      <c r="J38" s="50" t="s">
        <v>421</v>
      </c>
      <c r="K38" s="2"/>
    </row>
    <row r="39" ht="48.0" customHeight="1">
      <c r="A39" s="85"/>
      <c r="B39" s="85"/>
      <c r="C39" s="85"/>
      <c r="D39" s="85"/>
      <c r="E39" s="50" t="s">
        <v>202</v>
      </c>
      <c r="F39" s="50" t="s">
        <v>1067</v>
      </c>
      <c r="G39" s="359">
        <v>0.1</v>
      </c>
      <c r="H39" s="50" t="s">
        <v>1061</v>
      </c>
      <c r="I39" s="50" t="s">
        <v>171</v>
      </c>
      <c r="J39" s="50" t="s">
        <v>434</v>
      </c>
      <c r="K39" s="2"/>
    </row>
    <row r="40" ht="102.0" customHeight="1">
      <c r="A40" s="361" t="s">
        <v>1137</v>
      </c>
      <c r="B40" s="5" t="s">
        <v>1138</v>
      </c>
      <c r="C40" s="365" t="s">
        <v>1139</v>
      </c>
      <c r="D40" s="151" t="s">
        <v>1140</v>
      </c>
      <c r="E40" s="50" t="s">
        <v>1141</v>
      </c>
      <c r="F40" s="50" t="s">
        <v>1142</v>
      </c>
      <c r="G40" s="359">
        <v>0.82</v>
      </c>
      <c r="H40" s="50" t="s">
        <v>1108</v>
      </c>
      <c r="I40" s="50" t="s">
        <v>344</v>
      </c>
      <c r="J40" s="50" t="s">
        <v>1143</v>
      </c>
      <c r="K40" s="2"/>
    </row>
    <row r="41" ht="47.25" customHeight="1">
      <c r="A41" s="59"/>
      <c r="B41" s="356" t="s">
        <v>1144</v>
      </c>
      <c r="C41" s="360" t="s">
        <v>1145</v>
      </c>
      <c r="D41" s="357" t="s">
        <v>1146</v>
      </c>
      <c r="E41" s="50" t="s">
        <v>1147</v>
      </c>
      <c r="F41" s="50" t="s">
        <v>1142</v>
      </c>
      <c r="G41" s="359">
        <v>0.82</v>
      </c>
      <c r="H41" s="50" t="s">
        <v>1108</v>
      </c>
      <c r="I41" s="50" t="s">
        <v>344</v>
      </c>
      <c r="J41" s="50" t="s">
        <v>1143</v>
      </c>
      <c r="K41" s="2"/>
    </row>
    <row r="42" ht="44.25" customHeight="1">
      <c r="A42" s="59"/>
      <c r="B42" s="59"/>
      <c r="C42" s="59"/>
      <c r="D42" s="59"/>
      <c r="E42" s="50" t="s">
        <v>207</v>
      </c>
      <c r="F42" s="50" t="s">
        <v>1148</v>
      </c>
      <c r="G42" s="359">
        <v>0.85</v>
      </c>
      <c r="H42" s="50" t="s">
        <v>1108</v>
      </c>
      <c r="I42" s="50" t="s">
        <v>344</v>
      </c>
      <c r="J42" s="358" t="s">
        <v>242</v>
      </c>
      <c r="K42" s="2"/>
    </row>
    <row r="43">
      <c r="A43" s="59"/>
      <c r="B43" s="85"/>
      <c r="C43" s="85"/>
      <c r="D43" s="85"/>
      <c r="E43" s="50" t="s">
        <v>227</v>
      </c>
      <c r="F43" s="50" t="s">
        <v>1149</v>
      </c>
      <c r="G43" s="359">
        <v>0.85</v>
      </c>
      <c r="H43" s="50" t="s">
        <v>1108</v>
      </c>
      <c r="I43" s="50" t="s">
        <v>344</v>
      </c>
      <c r="J43" s="50" t="s">
        <v>1150</v>
      </c>
      <c r="K43" s="2"/>
    </row>
    <row r="44" ht="48.75" customHeight="1">
      <c r="A44" s="59"/>
      <c r="B44" s="356" t="s">
        <v>1151</v>
      </c>
      <c r="C44" s="360" t="s">
        <v>1152</v>
      </c>
      <c r="D44" s="357" t="s">
        <v>1153</v>
      </c>
      <c r="E44" s="50" t="s">
        <v>207</v>
      </c>
      <c r="F44" s="50" t="s">
        <v>1148</v>
      </c>
      <c r="G44" s="359">
        <v>0.85</v>
      </c>
      <c r="H44" s="50" t="s">
        <v>1108</v>
      </c>
      <c r="I44" s="50" t="s">
        <v>344</v>
      </c>
      <c r="J44" s="358" t="s">
        <v>242</v>
      </c>
      <c r="K44" s="2"/>
    </row>
    <row r="45" ht="48.75" customHeight="1">
      <c r="A45" s="85"/>
      <c r="B45" s="85"/>
      <c r="C45" s="85"/>
      <c r="D45" s="85"/>
      <c r="E45" s="50" t="s">
        <v>216</v>
      </c>
      <c r="F45" s="358" t="s">
        <v>219</v>
      </c>
      <c r="G45" s="359">
        <v>0.2</v>
      </c>
      <c r="H45" s="50" t="s">
        <v>1108</v>
      </c>
      <c r="I45" s="50" t="s">
        <v>344</v>
      </c>
      <c r="J45" s="358" t="s">
        <v>445</v>
      </c>
      <c r="K45" s="2"/>
    </row>
    <row r="46" ht="43.5" customHeight="1">
      <c r="A46" s="361" t="s">
        <v>1154</v>
      </c>
      <c r="B46" s="356" t="s">
        <v>1155</v>
      </c>
      <c r="C46" s="360" t="s">
        <v>1156</v>
      </c>
      <c r="D46" s="357" t="s">
        <v>1157</v>
      </c>
      <c r="E46" s="50" t="s">
        <v>1158</v>
      </c>
      <c r="F46" s="50" t="s">
        <v>1159</v>
      </c>
      <c r="G46" s="358" t="s">
        <v>413</v>
      </c>
      <c r="H46" s="50" t="s">
        <v>1098</v>
      </c>
      <c r="I46" s="50" t="s">
        <v>309</v>
      </c>
      <c r="J46" s="358" t="s">
        <v>1160</v>
      </c>
      <c r="K46" s="2"/>
    </row>
    <row r="47" ht="43.5" customHeight="1">
      <c r="A47" s="59"/>
      <c r="B47" s="85"/>
      <c r="C47" s="85"/>
      <c r="D47" s="85"/>
      <c r="E47" s="50" t="s">
        <v>231</v>
      </c>
      <c r="F47" s="50" t="s">
        <v>233</v>
      </c>
      <c r="G47" s="367">
        <v>0.82</v>
      </c>
      <c r="H47" s="50" t="s">
        <v>1098</v>
      </c>
      <c r="I47" s="50" t="s">
        <v>309</v>
      </c>
      <c r="J47" s="358" t="s">
        <v>470</v>
      </c>
      <c r="K47" s="2"/>
    </row>
    <row r="48" ht="40.5" customHeight="1">
      <c r="A48" s="59"/>
      <c r="B48" s="356" t="s">
        <v>1161</v>
      </c>
      <c r="C48" s="360" t="s">
        <v>1162</v>
      </c>
      <c r="D48" s="357" t="s">
        <v>1163</v>
      </c>
      <c r="E48" s="50" t="s">
        <v>1158</v>
      </c>
      <c r="F48" s="50" t="s">
        <v>1159</v>
      </c>
      <c r="G48" s="358" t="s">
        <v>413</v>
      </c>
      <c r="H48" s="50" t="s">
        <v>1098</v>
      </c>
      <c r="I48" s="50" t="s">
        <v>309</v>
      </c>
      <c r="J48" s="358" t="s">
        <v>1160</v>
      </c>
      <c r="K48" s="2"/>
    </row>
    <row r="49" ht="40.5" customHeight="1">
      <c r="A49" s="59"/>
      <c r="B49" s="59"/>
      <c r="C49" s="59"/>
      <c r="D49" s="59"/>
      <c r="E49" s="50" t="s">
        <v>1164</v>
      </c>
      <c r="F49" s="50" t="s">
        <v>241</v>
      </c>
      <c r="G49" s="367">
        <v>0.4</v>
      </c>
      <c r="H49" s="50" t="s">
        <v>1098</v>
      </c>
      <c r="I49" s="50" t="s">
        <v>309</v>
      </c>
      <c r="J49" s="358" t="s">
        <v>1160</v>
      </c>
      <c r="K49" s="2"/>
    </row>
    <row r="50" ht="40.5" customHeight="1">
      <c r="A50" s="59"/>
      <c r="B50" s="85"/>
      <c r="C50" s="85"/>
      <c r="D50" s="85"/>
      <c r="E50" s="50" t="s">
        <v>1165</v>
      </c>
      <c r="F50" s="50" t="s">
        <v>1166</v>
      </c>
      <c r="G50" s="358" t="s">
        <v>432</v>
      </c>
      <c r="H50" s="50" t="s">
        <v>1098</v>
      </c>
      <c r="I50" s="50" t="s">
        <v>309</v>
      </c>
      <c r="J50" s="358" t="s">
        <v>477</v>
      </c>
      <c r="K50" s="2"/>
    </row>
    <row r="51" ht="40.5" customHeight="1">
      <c r="A51" s="59"/>
      <c r="B51" s="356" t="s">
        <v>1167</v>
      </c>
      <c r="C51" s="360" t="s">
        <v>1168</v>
      </c>
      <c r="D51" s="357" t="s">
        <v>1169</v>
      </c>
      <c r="E51" s="50" t="s">
        <v>1170</v>
      </c>
      <c r="F51" s="50" t="s">
        <v>241</v>
      </c>
      <c r="G51" s="367">
        <v>0.4</v>
      </c>
      <c r="H51" s="50" t="s">
        <v>1098</v>
      </c>
      <c r="I51" s="50" t="s">
        <v>309</v>
      </c>
      <c r="J51" s="358" t="s">
        <v>1160</v>
      </c>
      <c r="K51" s="2"/>
    </row>
    <row r="52" ht="40.5" customHeight="1">
      <c r="A52" s="85"/>
      <c r="B52" s="85"/>
      <c r="C52" s="85"/>
      <c r="D52" s="85"/>
      <c r="E52" s="50" t="s">
        <v>1171</v>
      </c>
      <c r="F52" s="50" t="s">
        <v>233</v>
      </c>
      <c r="G52" s="367">
        <v>0.82</v>
      </c>
      <c r="H52" s="50" t="s">
        <v>1098</v>
      </c>
      <c r="I52" s="50" t="s">
        <v>309</v>
      </c>
      <c r="J52" s="358" t="s">
        <v>470</v>
      </c>
      <c r="K52" s="2"/>
    </row>
    <row r="53">
      <c r="A53" s="2"/>
      <c r="B53" s="10"/>
      <c r="C53" s="2"/>
      <c r="D53" s="2"/>
      <c r="E53" s="10"/>
      <c r="F53" s="10"/>
      <c r="G53" s="2"/>
      <c r="H53" s="2"/>
      <c r="I53" s="2"/>
      <c r="J53" s="2"/>
      <c r="K53" s="2"/>
    </row>
    <row r="54">
      <c r="A54" s="2"/>
      <c r="B54" s="10"/>
      <c r="C54" s="2"/>
      <c r="D54" s="2"/>
      <c r="E54" s="10"/>
      <c r="F54" s="10"/>
      <c r="G54" s="2"/>
      <c r="H54" s="2"/>
      <c r="I54" s="2"/>
      <c r="J54" s="2"/>
      <c r="K54" s="2"/>
    </row>
    <row r="55">
      <c r="A55" s="2"/>
      <c r="B55" s="10"/>
      <c r="C55" s="2"/>
      <c r="D55" s="2"/>
      <c r="E55" s="10"/>
      <c r="F55" s="10"/>
      <c r="G55" s="2"/>
      <c r="H55" s="2"/>
      <c r="I55" s="2"/>
      <c r="J55" s="2"/>
      <c r="K55" s="2"/>
    </row>
    <row r="56">
      <c r="A56" s="2"/>
      <c r="B56" s="10"/>
      <c r="C56" s="2"/>
      <c r="D56" s="2"/>
      <c r="E56" s="10"/>
      <c r="F56" s="10"/>
      <c r="G56" s="2"/>
      <c r="H56" s="2"/>
      <c r="I56" s="2"/>
      <c r="J56" s="2"/>
      <c r="K56" s="2"/>
    </row>
  </sheetData>
  <mergeCells count="73">
    <mergeCell ref="A17:A22"/>
    <mergeCell ref="B17:B18"/>
    <mergeCell ref="C17:C18"/>
    <mergeCell ref="D17:D18"/>
    <mergeCell ref="B19:B20"/>
    <mergeCell ref="C19:C20"/>
    <mergeCell ref="D19:D20"/>
    <mergeCell ref="D21:D22"/>
    <mergeCell ref="B21:B22"/>
    <mergeCell ref="C21:C22"/>
    <mergeCell ref="A23:A27"/>
    <mergeCell ref="B24:B25"/>
    <mergeCell ref="C24:C25"/>
    <mergeCell ref="D24:D25"/>
    <mergeCell ref="B26:B27"/>
    <mergeCell ref="B8:B9"/>
    <mergeCell ref="C8:C9"/>
    <mergeCell ref="B5:B7"/>
    <mergeCell ref="B10:B11"/>
    <mergeCell ref="C10:C11"/>
    <mergeCell ref="D10:D11"/>
    <mergeCell ref="B12:B14"/>
    <mergeCell ref="C12:C14"/>
    <mergeCell ref="D12:D14"/>
    <mergeCell ref="B15:B16"/>
    <mergeCell ref="C15:C16"/>
    <mergeCell ref="D15:D16"/>
    <mergeCell ref="A2:A16"/>
    <mergeCell ref="B2:B4"/>
    <mergeCell ref="C2:C4"/>
    <mergeCell ref="D2:D4"/>
    <mergeCell ref="C5:C7"/>
    <mergeCell ref="D5:D7"/>
    <mergeCell ref="D8:D9"/>
    <mergeCell ref="C30:C31"/>
    <mergeCell ref="D30:D31"/>
    <mergeCell ref="A46:A52"/>
    <mergeCell ref="B51:B52"/>
    <mergeCell ref="C51:C52"/>
    <mergeCell ref="D51:D52"/>
    <mergeCell ref="A40:A45"/>
    <mergeCell ref="B41:B43"/>
    <mergeCell ref="C41:C43"/>
    <mergeCell ref="D41:D43"/>
    <mergeCell ref="C44:C45"/>
    <mergeCell ref="D44:D45"/>
    <mergeCell ref="D48:D50"/>
    <mergeCell ref="D32:D33"/>
    <mergeCell ref="D34:D35"/>
    <mergeCell ref="D36:D37"/>
    <mergeCell ref="C26:C27"/>
    <mergeCell ref="D26:D27"/>
    <mergeCell ref="A28:A33"/>
    <mergeCell ref="B28:B29"/>
    <mergeCell ref="C28:C29"/>
    <mergeCell ref="D28:D29"/>
    <mergeCell ref="B30:B31"/>
    <mergeCell ref="B38:B39"/>
    <mergeCell ref="C38:C39"/>
    <mergeCell ref="D38:D39"/>
    <mergeCell ref="B32:B33"/>
    <mergeCell ref="C32:C33"/>
    <mergeCell ref="A34:A39"/>
    <mergeCell ref="B34:B35"/>
    <mergeCell ref="C34:C35"/>
    <mergeCell ref="B36:B37"/>
    <mergeCell ref="C36:C37"/>
    <mergeCell ref="B44:B45"/>
    <mergeCell ref="B46:B47"/>
    <mergeCell ref="C46:C47"/>
    <mergeCell ref="D46:D47"/>
    <mergeCell ref="B48:B50"/>
    <mergeCell ref="C48:C5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